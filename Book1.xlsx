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Test phần mềm\"/>
    </mc:Choice>
  </mc:AlternateContent>
  <xr:revisionPtr revIDLastSave="0" documentId="8_{DB7FB9A8-B576-4335-8A4C-E3C832AED1E1}" xr6:coauthVersionLast="47" xr6:coauthVersionMax="47" xr10:uidLastSave="{00000000-0000-0000-0000-000000000000}"/>
  <bookViews>
    <workbookView xWindow="-120" yWindow="-120" windowWidth="20730" windowHeight="11160" xr2:uid="{99D6CF76-17A8-403A-9517-235B8BFA9551}"/>
  </bookViews>
  <sheets>
    <sheet name="4.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53" i="1" l="1"/>
  <c r="AD153" i="1"/>
  <c r="AC153" i="1"/>
  <c r="AB153" i="1"/>
  <c r="AA153" i="1"/>
  <c r="Z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AE107" i="1"/>
  <c r="AE154" i="1" s="1"/>
  <c r="AD107" i="1"/>
  <c r="AD154" i="1" s="1"/>
  <c r="AC107" i="1"/>
  <c r="AC154" i="1" s="1"/>
  <c r="AB107" i="1"/>
  <c r="AB154" i="1" s="1"/>
  <c r="AA107" i="1"/>
  <c r="AA154" i="1" s="1"/>
  <c r="Z107" i="1"/>
  <c r="Z154" i="1" s="1"/>
  <c r="Y107" i="1"/>
  <c r="Y154" i="1" s="1"/>
  <c r="X107" i="1"/>
  <c r="X154" i="1" s="1"/>
  <c r="W107" i="1"/>
  <c r="W154" i="1" s="1"/>
  <c r="V107" i="1"/>
  <c r="V154" i="1" s="1"/>
  <c r="U107" i="1"/>
  <c r="U154" i="1" s="1"/>
  <c r="T107" i="1"/>
  <c r="T154" i="1" s="1"/>
  <c r="S107" i="1"/>
  <c r="S154" i="1" s="1"/>
  <c r="R107" i="1"/>
  <c r="R154" i="1" s="1"/>
  <c r="Q107" i="1"/>
  <c r="Q154" i="1" s="1"/>
  <c r="P107" i="1"/>
  <c r="P154" i="1" s="1"/>
  <c r="O107" i="1"/>
  <c r="O154" i="1" s="1"/>
  <c r="N107" i="1"/>
  <c r="N154" i="1" s="1"/>
  <c r="M107" i="1"/>
  <c r="M154" i="1" s="1"/>
  <c r="L107" i="1"/>
  <c r="L154" i="1" s="1"/>
  <c r="K107" i="1"/>
  <c r="K154" i="1" s="1"/>
  <c r="J107" i="1"/>
  <c r="J154" i="1" s="1"/>
  <c r="I107" i="1"/>
  <c r="I154" i="1" s="1"/>
  <c r="H107" i="1"/>
  <c r="H154" i="1" s="1"/>
  <c r="G107" i="1"/>
  <c r="G154" i="1" s="1"/>
  <c r="F107" i="1"/>
  <c r="F154" i="1" s="1"/>
  <c r="E107" i="1"/>
  <c r="E154" i="1" s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</calcChain>
</file>

<file path=xl/sharedStrings.xml><?xml version="1.0" encoding="utf-8"?>
<sst xmlns="http://schemas.openxmlformats.org/spreadsheetml/2006/main" count="182" uniqueCount="132">
  <si>
    <t>TT/ Khoa Phòng: CNTT</t>
  </si>
  <si>
    <t>BÁO CÁO CÔNG TÁC SỬA CHỮA HÀNG NGÀY PHÒNG CNTT</t>
  </si>
  <si>
    <t>STT</t>
  </si>
  <si>
    <t>KHOA, PHÒNG, TRUNG TÂM</t>
  </si>
  <si>
    <t>NỘI DUNG ĐỀ XUẤT, SỬA CHỮA VÀ BỔ SUNG</t>
  </si>
  <si>
    <t>CÁN BỘ YÊU CẦU SỬA CHỮA</t>
  </si>
  <si>
    <t>CÁN BỘ THỰC HIỆN</t>
  </si>
  <si>
    <t>GHI CHÚ</t>
  </si>
  <si>
    <t>TÌNH TRẠNG THỰC HIỆN</t>
  </si>
  <si>
    <t>PHẦN MỀM</t>
  </si>
  <si>
    <t>TỒN TẠI, HẠN CHẾ</t>
  </si>
  <si>
    <t>HƯỚNG KHẮC PHỤC</t>
  </si>
  <si>
    <t>Phần mềm</t>
  </si>
  <si>
    <t>Phần cứng (chỉ đánh số lượng không ghi nội dung)</t>
  </si>
  <si>
    <t>Số hồ sơ</t>
  </si>
  <si>
    <t>Số phiếu</t>
  </si>
  <si>
    <t>Xoá CLS, PTTT</t>
  </si>
  <si>
    <t>Ép thẻ BH</t>
  </si>
  <si>
    <r>
      <rPr>
        <b/>
        <sz val="13"/>
        <color theme="1"/>
        <rFont val="Times New Roman"/>
      </rPr>
      <t xml:space="preserve">Sửa phí, </t>
    </r>
    <r>
      <rPr>
        <b/>
        <sz val="13"/>
        <color rgb="FFFF0000"/>
        <rFont val="Times New Roman"/>
      </rPr>
      <t>mã QR sang TM và ngược lại</t>
    </r>
  </si>
  <si>
    <t>Huỷ CKS</t>
  </si>
  <si>
    <t>Huỷ B/án</t>
  </si>
  <si>
    <r>
      <rPr>
        <b/>
        <sz val="13"/>
        <color theme="1"/>
        <rFont val="Times New Roman"/>
      </rPr>
      <t xml:space="preserve">Sửa thông tin BN (NN; Địa chỉ, tuổi, CCCD,.v.v..)
</t>
    </r>
    <r>
      <rPr>
        <b/>
        <sz val="13"/>
        <color theme="1"/>
        <rFont val="Times New Roman"/>
      </rPr>
      <t>Sửa công khám, sửa kiểu khám</t>
    </r>
  </si>
  <si>
    <r>
      <rPr>
        <b/>
        <sz val="13"/>
        <color theme="1"/>
        <rFont val="Times New Roman"/>
      </rPr>
      <t xml:space="preserve">Sửa ngày giờ cls; pttt; </t>
    </r>
    <r>
      <rPr>
        <b/>
        <sz val="13"/>
        <color theme="1"/>
        <rFont val="Times New Roman"/>
      </rPr>
      <t>giờ đọc kết quả; người TH
cập nhật CLS, PTTT, sửa máy cls</t>
    </r>
  </si>
  <si>
    <t>Sửa mã bệnh kèm theo; bệnh chính</t>
  </si>
  <si>
    <t>Hỗ trợ ký số PM, QLVBĐH</t>
  </si>
  <si>
    <t>Sửa giấy RV, sửa kết thúc ra viện, chuyển tuyến</t>
  </si>
  <si>
    <t>Đăng bài trên website</t>
  </si>
  <si>
    <t>Sửa cách dùng thuốc, ngày giờ thuốc dược, vật tư</t>
  </si>
  <si>
    <r>
      <rPr>
        <b/>
        <sz val="13"/>
        <color theme="1"/>
        <rFont val="Times New Roman"/>
      </rPr>
      <t>Phân quyền USER,</t>
    </r>
    <r>
      <rPr>
        <b/>
        <sz val="13"/>
        <color theme="1"/>
        <rFont val="Times New Roman"/>
      </rPr>
      <t xml:space="preserve"> đổi nick user</t>
    </r>
  </si>
  <si>
    <t>Lỗi không kết thúc được hồ sơ: tồn thuốc, thuốc chưa đc cấp</t>
  </si>
  <si>
    <t>Sửa ngày giờ, sửa xoá phiếu xuất khác</t>
  </si>
  <si>
    <t>Sửa, xoá ảnh trên pacs.
lỗi không dẩy được chỉ định lên pacs</t>
  </si>
  <si>
    <t>Mở hs ký số bổ sung</t>
  </si>
  <si>
    <t>Sửa xoá giường; cập nhật giường, thêm giường</t>
  </si>
  <si>
    <t>Chuyển  thuốc CP- DG</t>
  </si>
  <si>
    <t xml:space="preserve">Sửa lỗi xuất toán tự động </t>
  </si>
  <si>
    <t>Vimes Xử Lý</t>
  </si>
  <si>
    <t>Đổ mực</t>
  </si>
  <si>
    <t>Cài win</t>
  </si>
  <si>
    <t>Sửa lỗi mạng (ip,sw, dây, card)</t>
  </si>
  <si>
    <t>Sửa máy tính (Linh kiện máy tính)
 (1)</t>
  </si>
  <si>
    <t>Sửa máy in
 (replace toner, thay linh kiện)
 (2)</t>
  </si>
  <si>
    <t>Sửa chữa khác</t>
  </si>
  <si>
    <t>PHÒNG CNTT THỰC HIỆN</t>
  </si>
  <si>
    <t>CÔNG TY PM VIMES</t>
  </si>
  <si>
    <t>Main, chip</t>
  </si>
  <si>
    <t>Nguồn</t>
  </si>
  <si>
    <t>Ổ cứng</t>
  </si>
  <si>
    <t>Vỏ lụa</t>
  </si>
  <si>
    <t>Lô ép</t>
  </si>
  <si>
    <t>Cảm biến</t>
  </si>
  <si>
    <t>CTXH</t>
  </si>
  <si>
    <t>Nga, Tùng</t>
  </si>
  <si>
    <t>Hiệp</t>
  </si>
  <si>
    <t>CĐHA</t>
  </si>
  <si>
    <t>26183381; 26183112</t>
  </si>
  <si>
    <t>7860435, 7860506</t>
  </si>
  <si>
    <t xml:space="preserve">Sửa mã máy phiếu siêu âm </t>
  </si>
  <si>
    <t>Hùng</t>
  </si>
  <si>
    <t>Dương</t>
  </si>
  <si>
    <t>THẬN</t>
  </si>
  <si>
    <t>Quy</t>
  </si>
  <si>
    <t>KB</t>
  </si>
  <si>
    <t>26183193; 26183405</t>
  </si>
  <si>
    <t>Sửa mã ĐT KCB</t>
  </si>
  <si>
    <t>Bs Hiền PK N5</t>
  </si>
  <si>
    <t>NHH</t>
  </si>
  <si>
    <t>14768123, 14768499</t>
  </si>
  <si>
    <t>Ngọc Liễu</t>
  </si>
  <si>
    <t>Ly</t>
  </si>
  <si>
    <t>TCKT</t>
  </si>
  <si>
    <t>Lê Trung Kiên, Hương Lan</t>
  </si>
  <si>
    <t>HSTC</t>
  </si>
  <si>
    <t>VT</t>
  </si>
  <si>
    <t>Sửa 135 mã máy làm sạch DL BHYT, Thêm 2 mãy máy vào Vimes khoa HSCC</t>
  </si>
  <si>
    <t>Thái</t>
  </si>
  <si>
    <t>V Phương</t>
  </si>
  <si>
    <t>Mở phiếu cho khoa chỉnh sửa</t>
  </si>
  <si>
    <t>NGOẠI TKLN</t>
  </si>
  <si>
    <t>Xử lý máy tính bị lỗi bật không lên màn hình</t>
  </si>
  <si>
    <t>Hoa</t>
  </si>
  <si>
    <t>Trực ngày 04/9/2026</t>
  </si>
  <si>
    <t>Long</t>
  </si>
  <si>
    <t>CXK</t>
  </si>
  <si>
    <t>Ngọc Anh</t>
  </si>
  <si>
    <t>Phần cứng</t>
  </si>
  <si>
    <t>Sửa phí</t>
  </si>
  <si>
    <t>Sửa thông tin BN (NN; Địa chỉ, tuổi, CCCD,.v.v...)
Sửa công khám, sửa kiểu khám</t>
  </si>
  <si>
    <t>Sửa ngày giờ cls; pttt; giờ đọc kết quả; người TH
cập nhật CLS, PTTT</t>
  </si>
  <si>
    <t>Sửa cách dùng thuốc, ngày giờ thuốc</t>
  </si>
  <si>
    <t>Phân quyền USER, đổi nick user</t>
  </si>
  <si>
    <t>Lỗi không kết thúc được hồ sơ</t>
  </si>
  <si>
    <t xml:space="preserve">Sửa xoá giường; cập nhật giường, thêm giường
</t>
  </si>
  <si>
    <t>Khác</t>
  </si>
  <si>
    <t>BAN BVSK</t>
  </si>
  <si>
    <t>CC115</t>
  </si>
  <si>
    <t>CĐT</t>
  </si>
  <si>
    <t>CNTT</t>
  </si>
  <si>
    <t>CSGN</t>
  </si>
  <si>
    <t>DA LIỄU</t>
  </si>
  <si>
    <t>ĐIỀU DƯỠNG</t>
  </si>
  <si>
    <t>DINH DƯỠNG</t>
  </si>
  <si>
    <t>ĐÔNG Y</t>
  </si>
  <si>
    <t>DƯỢC</t>
  </si>
  <si>
    <t>GĐYK</t>
  </si>
  <si>
    <t>GPB</t>
  </si>
  <si>
    <t>HCQT</t>
  </si>
  <si>
    <t>HHLS</t>
  </si>
  <si>
    <t>HTL</t>
  </si>
  <si>
    <t>KHTH</t>
  </si>
  <si>
    <t>KSNK</t>
  </si>
  <si>
    <t>LKTK</t>
  </si>
  <si>
    <t>MẮT</t>
  </si>
  <si>
    <t>NGOẠI CT</t>
  </si>
  <si>
    <t>NGOẠI TH</t>
  </si>
  <si>
    <t>NGOẠI TN</t>
  </si>
  <si>
    <t>NGOẠI ƯB</t>
  </si>
  <si>
    <t>NGOẠI XT</t>
  </si>
  <si>
    <t>NHI</t>
  </si>
  <si>
    <t>NỘI TH</t>
  </si>
  <si>
    <t>PHCN</t>
  </si>
  <si>
    <t>PTGMHS</t>
  </si>
  <si>
    <t>QLCL</t>
  </si>
  <si>
    <t>RHM</t>
  </si>
  <si>
    <t>TCCB</t>
  </si>
  <si>
    <t>TDCN</t>
  </si>
  <si>
    <t>TMH</t>
  </si>
  <si>
    <t>TRUYỀN NHIỄM</t>
  </si>
  <si>
    <t>TTTM</t>
  </si>
  <si>
    <t>XNTT</t>
  </si>
  <si>
    <t>PHỤ SẢN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</si>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</sst>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6">
    <font>
      <sz val="11"/>
      <color theme="1"/>
      <name val="Calibri"/>
      <scheme val="minor"/>
    </font>
    <font>
      <b/>
      <sz val="12"/>
      <color theme="1"/>
      <name val="Times New Roman"/>
    </font>
    <font>
      <b/>
      <sz val="18"/>
      <color theme="1"/>
      <name val="Times New Roman"/>
    </font>
    <font>
      <sz val="11"/>
      <color theme="1"/>
      <name val="Times New Roman"/>
    </font>
    <font>
      <b/>
      <sz val="9"/>
      <color theme="1"/>
      <name val="Times New Roman"/>
    </font>
    <font>
      <sz val="11"/>
      <name val="Calibri"/>
    </font>
    <font>
      <b/>
      <sz val="14"/>
      <color theme="1"/>
      <name val="Times New Roman"/>
    </font>
    <font>
      <b/>
      <sz val="13"/>
      <color theme="1"/>
      <name val="Times New Roman"/>
    </font>
    <font>
      <b/>
      <sz val="13"/>
      <color rgb="FFFF0000"/>
      <name val="Times New Roman"/>
    </font>
    <font>
      <sz val="12"/>
      <color theme="1"/>
      <name val="Times New Roman"/>
    </font>
    <font>
      <sz val="11"/>
      <color rgb="FF081B3A"/>
      <name val="Arial"/>
    </font>
    <font>
      <sz val="11"/>
      <color rgb="FF081B3A"/>
      <name val="SegoeuiPc"/>
    </font>
    <font>
      <sz val="11"/>
      <color rgb="FF081B3A"/>
      <name val="Times New Roman"/>
    </font>
    <font>
      <sz val="11"/>
      <color rgb="FFFF0000"/>
      <name val="Times New Roman"/>
    </font>
    <font>
      <sz val="13"/>
      <color theme="1"/>
      <name val="Times New Roman"/>
    </font>
    <font>
      <b/>
      <sz val="14"/>
      <color rgb="FFFF0000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00FFFF"/>
        <bgColor rgb="FF00FFFF"/>
      </patternFill>
    </fill>
    <fill>
      <patternFill patternType="solid">
        <fgColor rgb="FF00B050"/>
        <bgColor rgb="FF00B050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rgb="FF00FF00"/>
      </top>
      <bottom style="thin">
        <color rgb="FF00FF00"/>
      </bottom>
      <diagonal/>
    </border>
    <border>
      <left/>
      <right style="thin">
        <color rgb="FF00FF00"/>
      </right>
      <top style="thin">
        <color rgb="FF00FF00"/>
      </top>
      <bottom style="thin">
        <color rgb="FF00FF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 style="thin">
        <color rgb="FF00FF00"/>
      </right>
      <top style="thin">
        <color rgb="FF00FF00"/>
      </top>
      <bottom/>
      <diagonal/>
    </border>
    <border>
      <left style="thin">
        <color rgb="FF00FF00"/>
      </left>
      <right style="thin">
        <color rgb="FF00FF00"/>
      </right>
      <top style="thin">
        <color rgb="FF00FF00"/>
      </top>
      <bottom/>
      <diagonal/>
    </border>
    <border>
      <left style="thin">
        <color rgb="FF00FF00"/>
      </left>
      <right/>
      <top style="thin">
        <color rgb="FF00FF00"/>
      </top>
      <bottom/>
      <diagonal/>
    </border>
    <border>
      <left/>
      <right/>
      <top style="thin">
        <color rgb="FF00FF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 style="thin">
        <color rgb="FF00FF00"/>
      </right>
      <top/>
      <bottom style="thin">
        <color rgb="FF00FF00"/>
      </bottom>
      <diagonal/>
    </border>
    <border>
      <left style="thin">
        <color rgb="FF00FF00"/>
      </left>
      <right style="thin">
        <color rgb="FF00FF00"/>
      </right>
      <top/>
      <bottom style="thin">
        <color rgb="FF00FF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5" fillId="0" borderId="2" xfId="0" applyFont="1" applyBorder="1"/>
    <xf numFmtId="0" fontId="5" fillId="0" borderId="3" xfId="0" applyFont="1" applyBorder="1"/>
    <xf numFmtId="0" fontId="1" fillId="0" borderId="4" xfId="0" applyFont="1" applyBorder="1" applyAlignment="1">
      <alignment horizontal="center"/>
    </xf>
    <xf numFmtId="0" fontId="5" fillId="0" borderId="5" xfId="0" applyFont="1" applyBorder="1"/>
    <xf numFmtId="0" fontId="6" fillId="2" borderId="6" xfId="0" applyFont="1" applyFill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6" fillId="3" borderId="9" xfId="0" applyFont="1" applyFill="1" applyBorder="1" applyAlignment="1">
      <alignment horizontal="center"/>
    </xf>
    <xf numFmtId="0" fontId="5" fillId="0" borderId="9" xfId="0" applyFont="1" applyBorder="1"/>
    <xf numFmtId="0" fontId="5" fillId="0" borderId="10" xfId="0" applyFont="1" applyBorder="1"/>
    <xf numFmtId="0" fontId="3" fillId="0" borderId="11" xfId="0" applyFont="1" applyBorder="1"/>
    <xf numFmtId="0" fontId="5" fillId="0" borderId="12" xfId="0" applyFont="1" applyBorder="1"/>
    <xf numFmtId="0" fontId="1" fillId="4" borderId="1" xfId="0" applyFont="1" applyFill="1" applyBorder="1" applyAlignment="1">
      <alignment horizontal="center" wrapText="1"/>
    </xf>
    <xf numFmtId="0" fontId="1" fillId="4" borderId="13" xfId="0" applyFont="1" applyFill="1" applyBorder="1" applyAlignment="1">
      <alignment horizontal="center" wrapText="1"/>
    </xf>
    <xf numFmtId="0" fontId="7" fillId="4" borderId="14" xfId="0" applyFont="1" applyFill="1" applyBorder="1" applyAlignment="1">
      <alignment horizontal="center" wrapText="1"/>
    </xf>
    <xf numFmtId="0" fontId="8" fillId="4" borderId="14" xfId="0" applyFont="1" applyFill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1" fillId="4" borderId="16" xfId="0" applyFont="1" applyFill="1" applyBorder="1" applyAlignment="1">
      <alignment horizontal="center" wrapText="1"/>
    </xf>
    <xf numFmtId="0" fontId="1" fillId="4" borderId="17" xfId="0" applyFont="1" applyFill="1" applyBorder="1" applyAlignment="1">
      <alignment horizontal="center" wrapText="1"/>
    </xf>
    <xf numFmtId="0" fontId="5" fillId="0" borderId="18" xfId="0" applyFont="1" applyBorder="1"/>
    <xf numFmtId="0" fontId="5" fillId="0" borderId="15" xfId="0" applyFont="1" applyBorder="1"/>
    <xf numFmtId="0" fontId="1" fillId="4" borderId="16" xfId="0" applyFont="1" applyFill="1" applyBorder="1" applyAlignment="1">
      <alignment horizontal="center" wrapText="1"/>
    </xf>
    <xf numFmtId="0" fontId="5" fillId="0" borderId="19" xfId="0" applyFont="1" applyBorder="1"/>
    <xf numFmtId="0" fontId="1" fillId="4" borderId="20" xfId="0" applyFont="1" applyFill="1" applyBorder="1" applyAlignment="1">
      <alignment horizontal="center" wrapText="1"/>
    </xf>
    <xf numFmtId="0" fontId="5" fillId="0" borderId="21" xfId="0" applyFont="1" applyBorder="1"/>
    <xf numFmtId="0" fontId="3" fillId="0" borderId="3" xfId="0" applyFont="1" applyBorder="1"/>
    <xf numFmtId="0" fontId="5" fillId="0" borderId="22" xfId="0" applyFont="1" applyBorder="1"/>
    <xf numFmtId="0" fontId="5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0" fontId="1" fillId="4" borderId="26" xfId="0" applyFont="1" applyFill="1" applyBorder="1" applyAlignment="1">
      <alignment horizontal="center" wrapText="1"/>
    </xf>
    <xf numFmtId="0" fontId="3" fillId="4" borderId="10" xfId="0" applyFont="1" applyFill="1" applyBorder="1"/>
    <xf numFmtId="0" fontId="9" fillId="0" borderId="27" xfId="0" applyFont="1" applyBorder="1" applyAlignment="1">
      <alignment horizontal="center" wrapText="1"/>
    </xf>
    <xf numFmtId="0" fontId="3" fillId="0" borderId="28" xfId="0" applyFont="1" applyBorder="1"/>
    <xf numFmtId="0" fontId="10" fillId="5" borderId="20" xfId="0" applyFont="1" applyFill="1" applyBorder="1"/>
    <xf numFmtId="0" fontId="3" fillId="0" borderId="29" xfId="0" applyFont="1" applyBorder="1"/>
    <xf numFmtId="0" fontId="3" fillId="2" borderId="29" xfId="0" applyFont="1" applyFill="1" applyBorder="1"/>
    <xf numFmtId="0" fontId="3" fillId="3" borderId="29" xfId="0" applyFont="1" applyFill="1" applyBorder="1"/>
    <xf numFmtId="0" fontId="3" fillId="5" borderId="20" xfId="0" applyFont="1" applyFill="1" applyBorder="1"/>
    <xf numFmtId="0" fontId="3" fillId="0" borderId="20" xfId="0" applyFont="1" applyBorder="1"/>
    <xf numFmtId="0" fontId="11" fillId="5" borderId="0" xfId="0" applyFont="1" applyFill="1"/>
    <xf numFmtId="0" fontId="11" fillId="5" borderId="20" xfId="0" applyFont="1" applyFill="1" applyBorder="1"/>
    <xf numFmtId="0" fontId="12" fillId="5" borderId="20" xfId="0" applyFont="1" applyFill="1" applyBorder="1"/>
    <xf numFmtId="0" fontId="3" fillId="0" borderId="27" xfId="0" applyFont="1" applyBorder="1"/>
    <xf numFmtId="0" fontId="13" fillId="0" borderId="29" xfId="0" applyFont="1" applyBorder="1"/>
    <xf numFmtId="0" fontId="3" fillId="2" borderId="27" xfId="0" applyFont="1" applyFill="1" applyBorder="1"/>
    <xf numFmtId="0" fontId="3" fillId="5" borderId="0" xfId="0" applyFont="1" applyFill="1"/>
    <xf numFmtId="0" fontId="10" fillId="5" borderId="0" xfId="0" applyFont="1" applyFill="1"/>
    <xf numFmtId="3" fontId="3" fillId="0" borderId="20" xfId="0" applyNumberFormat="1" applyFont="1" applyBorder="1"/>
    <xf numFmtId="0" fontId="3" fillId="6" borderId="29" xfId="0" applyFont="1" applyFill="1" applyBorder="1"/>
    <xf numFmtId="0" fontId="12" fillId="5" borderId="0" xfId="0" applyFont="1" applyFill="1"/>
    <xf numFmtId="164" fontId="3" fillId="6" borderId="29" xfId="0" applyNumberFormat="1" applyFont="1" applyFill="1" applyBorder="1"/>
    <xf numFmtId="164" fontId="3" fillId="2" borderId="29" xfId="0" applyNumberFormat="1" applyFont="1" applyFill="1" applyBorder="1"/>
    <xf numFmtId="0" fontId="3" fillId="7" borderId="28" xfId="0" applyFont="1" applyFill="1" applyBorder="1"/>
    <xf numFmtId="0" fontId="3" fillId="7" borderId="20" xfId="0" applyFont="1" applyFill="1" applyBorder="1"/>
    <xf numFmtId="0" fontId="3" fillId="7" borderId="29" xfId="0" applyFont="1" applyFill="1" applyBorder="1"/>
    <xf numFmtId="164" fontId="3" fillId="7" borderId="29" xfId="0" applyNumberFormat="1" applyFont="1" applyFill="1" applyBorder="1"/>
    <xf numFmtId="0" fontId="1" fillId="8" borderId="1" xfId="0" applyFont="1" applyFill="1" applyBorder="1" applyAlignment="1">
      <alignment horizontal="center" wrapText="1"/>
    </xf>
    <xf numFmtId="0" fontId="1" fillId="8" borderId="2" xfId="0" applyFont="1" applyFill="1" applyBorder="1" applyAlignment="1">
      <alignment horizontal="center" wrapText="1"/>
    </xf>
    <xf numFmtId="0" fontId="6" fillId="8" borderId="2" xfId="0" applyFont="1" applyFill="1" applyBorder="1" applyAlignment="1">
      <alignment horizontal="center" wrapText="1"/>
    </xf>
    <xf numFmtId="0" fontId="14" fillId="4" borderId="14" xfId="0" applyFont="1" applyFill="1" applyBorder="1" applyAlignment="1">
      <alignment horizontal="center" wrapText="1"/>
    </xf>
    <xf numFmtId="0" fontId="5" fillId="0" borderId="27" xfId="0" applyFont="1" applyBorder="1"/>
    <xf numFmtId="0" fontId="3" fillId="0" borderId="27" xfId="0" applyFont="1" applyBorder="1" applyAlignment="1">
      <alignment horizontal="center" wrapText="1"/>
    </xf>
    <xf numFmtId="0" fontId="3" fillId="0" borderId="28" xfId="0" applyFont="1" applyBorder="1" applyAlignment="1">
      <alignment horizontal="center" wrapText="1"/>
    </xf>
    <xf numFmtId="164" fontId="3" fillId="5" borderId="20" xfId="0" applyNumberFormat="1" applyFont="1" applyFill="1" applyBorder="1"/>
    <xf numFmtId="0" fontId="3" fillId="0" borderId="0" xfId="0" applyFont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12" fillId="5" borderId="0" xfId="0" applyFont="1" applyFill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5" borderId="27" xfId="0" applyFont="1" applyFill="1" applyBorder="1" applyAlignment="1">
      <alignment horizontal="center"/>
    </xf>
    <xf numFmtId="0" fontId="9" fillId="5" borderId="28" xfId="0" applyFont="1" applyFill="1" applyBorder="1" applyAlignment="1">
      <alignment horizontal="center" wrapText="1"/>
    </xf>
    <xf numFmtId="164" fontId="3" fillId="0" borderId="20" xfId="0" applyNumberFormat="1" applyFont="1" applyBorder="1"/>
    <xf numFmtId="0" fontId="15" fillId="5" borderId="28" xfId="0" applyFont="1" applyFill="1" applyBorder="1" applyAlignment="1">
      <alignment horizontal="center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7FA1-6CEB-4FA7-86C5-0D8680C3BCB4}">
  <sheetPr>
    <outlinePr summaryBelow="0" summaryRight="0"/>
  </sheetPr>
  <dimension ref="A1:AR1040"/>
  <sheetViews>
    <sheetView tabSelected="1" topLeftCell="H1" workbookViewId="0">
      <selection activeCell="A9" sqref="A9:XFD9"/>
    </sheetView>
  </sheetViews>
  <sheetFormatPr defaultColWidth="14.42578125" defaultRowHeight="15" customHeight="1"/>
  <cols>
    <col min="1" max="1" width="4.28515625" customWidth="1"/>
    <col min="2" max="2" width="18.42578125" customWidth="1"/>
    <col min="3" max="3" width="15.42578125" customWidth="1"/>
    <col min="4" max="4" width="18.85546875" customWidth="1"/>
    <col min="5" max="14" width="7.85546875" customWidth="1"/>
    <col min="15" max="15" width="10.42578125" customWidth="1"/>
    <col min="16" max="21" width="7.85546875" customWidth="1"/>
    <col min="22" max="22" width="9.5703125" customWidth="1"/>
    <col min="23" max="23" width="10" customWidth="1"/>
    <col min="24" max="24" width="7.85546875" hidden="1" customWidth="1"/>
    <col min="25" max="25" width="8.7109375" hidden="1" customWidth="1"/>
    <col min="26" max="26" width="6.28515625" hidden="1" customWidth="1"/>
    <col min="27" max="27" width="7.85546875" hidden="1" customWidth="1"/>
    <col min="28" max="28" width="7.42578125" hidden="1" customWidth="1"/>
    <col min="29" max="29" width="7.5703125" hidden="1" customWidth="1"/>
    <col min="30" max="30" width="7.7109375" hidden="1" customWidth="1"/>
    <col min="31" max="31" width="8.7109375" hidden="1" customWidth="1"/>
    <col min="32" max="32" width="7.140625" hidden="1" customWidth="1"/>
    <col min="33" max="33" width="5.5703125" hidden="1" customWidth="1"/>
    <col min="34" max="34" width="7.42578125" hidden="1" customWidth="1"/>
    <col min="35" max="35" width="24.28515625" customWidth="1"/>
    <col min="36" max="36" width="11.5703125" customWidth="1"/>
    <col min="37" max="37" width="16.5703125" customWidth="1"/>
    <col min="38" max="38" width="18.7109375" customWidth="1"/>
    <col min="39" max="42" width="16.5703125" customWidth="1"/>
    <col min="43" max="43" width="9.85546875" customWidth="1"/>
    <col min="44" max="44" width="68.140625" customWidth="1"/>
  </cols>
  <sheetData>
    <row r="1" spans="1:44" ht="15.75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4"/>
      <c r="AQ1" s="2"/>
      <c r="AR1" s="5"/>
    </row>
    <row r="2" spans="1:44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5"/>
      <c r="AN2" s="5"/>
      <c r="AO2" s="5"/>
      <c r="AP2" s="5"/>
      <c r="AQ2" s="5"/>
      <c r="AR2" s="5"/>
    </row>
    <row r="3" spans="1:44">
      <c r="A3" s="6" t="s">
        <v>2</v>
      </c>
      <c r="B3" s="7" t="s">
        <v>3</v>
      </c>
      <c r="C3" s="8" t="s">
        <v>4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10"/>
      <c r="AJ3" s="7" t="s">
        <v>5</v>
      </c>
      <c r="AK3" s="7" t="s">
        <v>6</v>
      </c>
      <c r="AL3" s="7" t="s">
        <v>7</v>
      </c>
      <c r="AM3" s="7" t="s">
        <v>8</v>
      </c>
      <c r="AN3" s="8" t="s">
        <v>9</v>
      </c>
      <c r="AO3" s="10"/>
      <c r="AP3" s="7" t="s">
        <v>10</v>
      </c>
      <c r="AQ3" s="11" t="s">
        <v>11</v>
      </c>
      <c r="AR3" s="5"/>
    </row>
    <row r="4" spans="1:44" ht="18.75">
      <c r="A4" s="12"/>
      <c r="B4" s="12"/>
      <c r="C4" s="5"/>
      <c r="D4" s="5"/>
      <c r="E4" s="13" t="s">
        <v>12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5"/>
      <c r="Z4" s="16" t="s">
        <v>13</v>
      </c>
      <c r="AA4" s="17"/>
      <c r="AB4" s="17"/>
      <c r="AC4" s="17"/>
      <c r="AD4" s="17"/>
      <c r="AE4" s="17"/>
      <c r="AF4" s="17"/>
      <c r="AG4" s="17"/>
      <c r="AH4" s="17"/>
      <c r="AI4" s="18"/>
      <c r="AJ4" s="12"/>
      <c r="AK4" s="12"/>
      <c r="AL4" s="12"/>
      <c r="AM4" s="12"/>
      <c r="AN4" s="19"/>
      <c r="AO4" s="19"/>
      <c r="AP4" s="12"/>
      <c r="AQ4" s="20"/>
      <c r="AR4" s="19"/>
    </row>
    <row r="5" spans="1:44" ht="35.25" customHeight="1" thickBot="1">
      <c r="A5" s="12"/>
      <c r="B5" s="12"/>
      <c r="C5" s="21" t="s">
        <v>14</v>
      </c>
      <c r="D5" s="22" t="s">
        <v>15</v>
      </c>
      <c r="E5" s="23" t="s">
        <v>16</v>
      </c>
      <c r="F5" s="23" t="s">
        <v>17</v>
      </c>
      <c r="G5" s="23" t="s">
        <v>18</v>
      </c>
      <c r="H5" s="23" t="s">
        <v>19</v>
      </c>
      <c r="I5" s="23" t="s">
        <v>20</v>
      </c>
      <c r="J5" s="23" t="s">
        <v>21</v>
      </c>
      <c r="K5" s="23" t="s">
        <v>22</v>
      </c>
      <c r="L5" s="23" t="s">
        <v>23</v>
      </c>
      <c r="M5" s="23" t="s">
        <v>24</v>
      </c>
      <c r="N5" s="23" t="s">
        <v>25</v>
      </c>
      <c r="O5" s="23" t="s">
        <v>26</v>
      </c>
      <c r="P5" s="23" t="s">
        <v>27</v>
      </c>
      <c r="Q5" s="23" t="s">
        <v>28</v>
      </c>
      <c r="R5" s="23" t="s">
        <v>29</v>
      </c>
      <c r="S5" s="23" t="s">
        <v>30</v>
      </c>
      <c r="T5" s="23" t="s">
        <v>31</v>
      </c>
      <c r="U5" s="23" t="s">
        <v>32</v>
      </c>
      <c r="V5" s="23" t="s">
        <v>33</v>
      </c>
      <c r="W5" s="24" t="s">
        <v>34</v>
      </c>
      <c r="X5" s="24" t="s">
        <v>35</v>
      </c>
      <c r="Y5" s="23" t="s">
        <v>36</v>
      </c>
      <c r="Z5" s="25" t="s">
        <v>37</v>
      </c>
      <c r="AA5" s="26" t="s">
        <v>38</v>
      </c>
      <c r="AB5" s="26" t="s">
        <v>39</v>
      </c>
      <c r="AC5" s="27" t="s">
        <v>40</v>
      </c>
      <c r="AD5" s="28"/>
      <c r="AE5" s="29"/>
      <c r="AF5" s="27" t="s">
        <v>41</v>
      </c>
      <c r="AG5" s="28"/>
      <c r="AH5" s="29"/>
      <c r="AI5" s="30" t="s">
        <v>42</v>
      </c>
      <c r="AJ5" s="31"/>
      <c r="AK5" s="31"/>
      <c r="AL5" s="31"/>
      <c r="AM5" s="31"/>
      <c r="AN5" s="32" t="s">
        <v>43</v>
      </c>
      <c r="AO5" s="32" t="s">
        <v>44</v>
      </c>
      <c r="AP5" s="31"/>
      <c r="AQ5" s="33"/>
      <c r="AR5" s="34"/>
    </row>
    <row r="6" spans="1:44" ht="41.25" customHeight="1" thickBot="1">
      <c r="A6" s="31"/>
      <c r="B6" s="31"/>
      <c r="C6" s="31"/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7"/>
      <c r="AA6" s="38"/>
      <c r="AB6" s="38"/>
      <c r="AC6" s="39" t="s">
        <v>45</v>
      </c>
      <c r="AD6" s="39" t="s">
        <v>46</v>
      </c>
      <c r="AE6" s="39" t="s">
        <v>47</v>
      </c>
      <c r="AF6" s="39" t="s">
        <v>48</v>
      </c>
      <c r="AG6" s="39" t="s">
        <v>49</v>
      </c>
      <c r="AH6" s="39" t="s">
        <v>50</v>
      </c>
      <c r="AI6" s="40"/>
      <c r="AJ6" s="19"/>
      <c r="AK6" s="19"/>
      <c r="AL6" s="19"/>
      <c r="AM6" s="19"/>
      <c r="AN6" s="19"/>
      <c r="AO6" s="19"/>
      <c r="AP6" s="19"/>
      <c r="AQ6" s="5"/>
      <c r="AR6" s="19"/>
    </row>
    <row r="7" spans="1:44" ht="15.75">
      <c r="A7" s="41">
        <v>1</v>
      </c>
      <c r="B7" s="42" t="s">
        <v>51</v>
      </c>
      <c r="C7" s="43"/>
      <c r="D7" s="44"/>
      <c r="E7" s="45"/>
      <c r="F7" s="45"/>
      <c r="G7" s="45"/>
      <c r="H7" s="45"/>
      <c r="I7" s="45"/>
      <c r="J7" s="45"/>
      <c r="K7" s="45"/>
      <c r="L7" s="45"/>
      <c r="M7" s="45"/>
      <c r="N7" s="45"/>
      <c r="O7" s="45">
        <v>3</v>
      </c>
      <c r="P7" s="45"/>
      <c r="Q7" s="45"/>
      <c r="R7" s="45"/>
      <c r="S7" s="45"/>
      <c r="T7" s="45"/>
      <c r="U7" s="45"/>
      <c r="V7" s="45"/>
      <c r="W7" s="45"/>
      <c r="X7" s="45"/>
      <c r="Y7" s="45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4" t="s">
        <v>52</v>
      </c>
      <c r="AK7" s="44" t="s">
        <v>53</v>
      </c>
      <c r="AL7" s="44"/>
      <c r="AM7" s="44"/>
      <c r="AN7" s="44"/>
      <c r="AO7" s="44"/>
      <c r="AP7" s="44"/>
      <c r="AQ7" s="44"/>
      <c r="AR7" s="44"/>
    </row>
    <row r="8" spans="1:44" ht="15.75">
      <c r="A8" s="41">
        <v>2</v>
      </c>
      <c r="B8" s="42" t="s">
        <v>54</v>
      </c>
      <c r="C8" s="47" t="s">
        <v>55</v>
      </c>
      <c r="D8" s="48" t="s">
        <v>56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6"/>
      <c r="AA8" s="46"/>
      <c r="AB8" s="46"/>
      <c r="AC8" s="46"/>
      <c r="AD8" s="46"/>
      <c r="AE8" s="46"/>
      <c r="AF8" s="46"/>
      <c r="AG8" s="46"/>
      <c r="AH8" s="46"/>
      <c r="AI8" s="46" t="s">
        <v>57</v>
      </c>
      <c r="AJ8" s="44" t="s">
        <v>58</v>
      </c>
      <c r="AK8" s="44" t="s">
        <v>59</v>
      </c>
      <c r="AL8" s="44"/>
      <c r="AM8" s="44"/>
      <c r="AN8" s="44"/>
      <c r="AO8" s="44"/>
      <c r="AP8" s="44"/>
      <c r="AQ8" s="44"/>
      <c r="AR8" s="44"/>
    </row>
    <row r="9" spans="1:44" ht="15.75">
      <c r="A9" s="41">
        <v>3</v>
      </c>
      <c r="B9" s="42" t="s">
        <v>60</v>
      </c>
      <c r="C9" s="48">
        <v>26177068</v>
      </c>
      <c r="D9" s="44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>
        <v>1</v>
      </c>
      <c r="S9" s="45"/>
      <c r="T9" s="45"/>
      <c r="U9" s="45"/>
      <c r="V9" s="45"/>
      <c r="W9" s="45"/>
      <c r="X9" s="45"/>
      <c r="Y9" s="45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4" t="s">
        <v>61</v>
      </c>
      <c r="AK9" s="44" t="s">
        <v>59</v>
      </c>
      <c r="AL9" s="44"/>
      <c r="AM9" s="44"/>
      <c r="AN9" s="44"/>
      <c r="AO9" s="44"/>
      <c r="AP9" s="44"/>
      <c r="AQ9" s="44"/>
      <c r="AR9" s="44"/>
    </row>
    <row r="10" spans="1:44" ht="15.75">
      <c r="A10" s="41">
        <v>4</v>
      </c>
      <c r="B10" s="42" t="s">
        <v>62</v>
      </c>
      <c r="C10" s="48" t="s">
        <v>63</v>
      </c>
      <c r="D10" s="44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>
        <v>1</v>
      </c>
      <c r="Q10" s="45"/>
      <c r="R10" s="45"/>
      <c r="S10" s="45"/>
      <c r="T10" s="45"/>
      <c r="U10" s="45"/>
      <c r="V10" s="45"/>
      <c r="W10" s="45"/>
      <c r="X10" s="45"/>
      <c r="Y10" s="45"/>
      <c r="Z10" s="46"/>
      <c r="AA10" s="46"/>
      <c r="AB10" s="46"/>
      <c r="AC10" s="46"/>
      <c r="AD10" s="46"/>
      <c r="AE10" s="46"/>
      <c r="AF10" s="46"/>
      <c r="AG10" s="46"/>
      <c r="AH10" s="46"/>
      <c r="AI10" s="46" t="s">
        <v>64</v>
      </c>
      <c r="AJ10" s="44" t="s">
        <v>65</v>
      </c>
      <c r="AK10" s="44" t="s">
        <v>59</v>
      </c>
      <c r="AL10" s="44"/>
      <c r="AM10" s="44"/>
      <c r="AN10" s="44"/>
      <c r="AO10" s="44"/>
      <c r="AP10" s="44"/>
      <c r="AQ10" s="44"/>
      <c r="AR10" s="44"/>
    </row>
    <row r="11" spans="1:44" ht="15.75">
      <c r="A11" s="41">
        <v>5</v>
      </c>
      <c r="B11" s="42" t="s">
        <v>66</v>
      </c>
      <c r="C11" s="49">
        <v>26178362</v>
      </c>
      <c r="D11" s="48" t="s">
        <v>67</v>
      </c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>
        <v>1</v>
      </c>
      <c r="Q11" s="45"/>
      <c r="R11" s="45"/>
      <c r="S11" s="45"/>
      <c r="T11" s="45"/>
      <c r="U11" s="45"/>
      <c r="V11" s="45"/>
      <c r="W11" s="45"/>
      <c r="X11" s="45"/>
      <c r="Y11" s="45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4" t="s">
        <v>68</v>
      </c>
      <c r="AK11" s="44" t="s">
        <v>69</v>
      </c>
      <c r="AL11" s="44"/>
      <c r="AM11" s="44"/>
      <c r="AN11" s="44"/>
      <c r="AO11" s="44"/>
      <c r="AP11" s="44"/>
      <c r="AQ11" s="44"/>
      <c r="AR11" s="44"/>
    </row>
    <row r="12" spans="1:44" ht="15.75">
      <c r="A12" s="41">
        <v>6</v>
      </c>
      <c r="B12" s="48" t="s">
        <v>66</v>
      </c>
      <c r="C12" s="50">
        <v>26175539</v>
      </c>
      <c r="D12" s="48"/>
      <c r="E12" s="45"/>
      <c r="F12" s="45"/>
      <c r="G12" s="45"/>
      <c r="H12" s="45">
        <v>1</v>
      </c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4" t="s">
        <v>68</v>
      </c>
      <c r="AK12" s="44" t="s">
        <v>69</v>
      </c>
      <c r="AL12" s="44"/>
      <c r="AM12" s="44"/>
      <c r="AN12" s="44"/>
      <c r="AO12" s="44"/>
      <c r="AP12" s="44"/>
      <c r="AQ12" s="44"/>
      <c r="AR12" s="44"/>
    </row>
    <row r="13" spans="1:44" ht="15.75">
      <c r="A13" s="41">
        <v>7</v>
      </c>
      <c r="B13" s="42" t="s">
        <v>70</v>
      </c>
      <c r="C13" s="48"/>
      <c r="D13" s="50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>
        <v>2</v>
      </c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4" t="s">
        <v>71</v>
      </c>
      <c r="AK13" s="44" t="s">
        <v>53</v>
      </c>
      <c r="AL13" s="44"/>
      <c r="AM13" s="44"/>
      <c r="AN13" s="44"/>
      <c r="AO13" s="44"/>
      <c r="AP13" s="44"/>
      <c r="AQ13" s="44"/>
      <c r="AR13" s="44"/>
    </row>
    <row r="14" spans="1:44" ht="15.75">
      <c r="A14" s="41">
        <v>8</v>
      </c>
      <c r="B14" s="42" t="s">
        <v>72</v>
      </c>
      <c r="C14" s="43"/>
      <c r="D14" s="48"/>
      <c r="E14" s="45"/>
      <c r="F14" s="45"/>
      <c r="G14" s="45"/>
      <c r="H14" s="45"/>
      <c r="I14" s="45"/>
      <c r="J14" s="45">
        <v>1</v>
      </c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4"/>
      <c r="AK14" s="44"/>
      <c r="AL14" s="44"/>
      <c r="AM14" s="44"/>
      <c r="AN14" s="44"/>
      <c r="AO14" s="44"/>
      <c r="AP14" s="44"/>
      <c r="AQ14" s="44"/>
      <c r="AR14" s="44"/>
    </row>
    <row r="15" spans="1:44" ht="15.75">
      <c r="A15" s="41">
        <v>9</v>
      </c>
      <c r="B15" s="42" t="s">
        <v>73</v>
      </c>
      <c r="C15" s="48"/>
      <c r="D15" s="48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6"/>
      <c r="AA15" s="46"/>
      <c r="AB15" s="46"/>
      <c r="AC15" s="46"/>
      <c r="AD15" s="46"/>
      <c r="AE15" s="46"/>
      <c r="AF15" s="46"/>
      <c r="AG15" s="46"/>
      <c r="AH15" s="46"/>
      <c r="AI15" s="46" t="s">
        <v>74</v>
      </c>
      <c r="AJ15" s="44" t="s">
        <v>75</v>
      </c>
      <c r="AK15" s="44" t="s">
        <v>76</v>
      </c>
      <c r="AL15" s="44"/>
      <c r="AM15" s="44"/>
      <c r="AN15" s="44"/>
      <c r="AO15" s="44"/>
      <c r="AP15" s="44"/>
      <c r="AQ15" s="44"/>
      <c r="AR15" s="44"/>
    </row>
    <row r="16" spans="1:44" ht="15.75">
      <c r="A16" s="41">
        <v>10</v>
      </c>
      <c r="B16" s="42" t="s">
        <v>66</v>
      </c>
      <c r="C16" s="51">
        <v>26169665</v>
      </c>
      <c r="D16" s="49">
        <v>2506881</v>
      </c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6"/>
      <c r="AA16" s="46"/>
      <c r="AB16" s="46"/>
      <c r="AC16" s="46"/>
      <c r="AD16" s="46"/>
      <c r="AE16" s="46"/>
      <c r="AF16" s="46"/>
      <c r="AG16" s="46"/>
      <c r="AH16" s="46"/>
      <c r="AI16" s="46" t="s">
        <v>77</v>
      </c>
      <c r="AJ16" s="44" t="s">
        <v>68</v>
      </c>
      <c r="AK16" s="44" t="s">
        <v>69</v>
      </c>
      <c r="AL16" s="44"/>
      <c r="AM16" s="44"/>
      <c r="AN16" s="44"/>
      <c r="AO16" s="44"/>
      <c r="AP16" s="44"/>
      <c r="AQ16" s="44"/>
      <c r="AR16" s="44"/>
    </row>
    <row r="17" spans="1:44" ht="15.75">
      <c r="A17" s="41">
        <v>11</v>
      </c>
      <c r="B17" s="42" t="s">
        <v>78</v>
      </c>
      <c r="C17" s="48">
        <v>26183895</v>
      </c>
      <c r="D17" s="48"/>
      <c r="E17" s="45">
        <v>1</v>
      </c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4"/>
      <c r="AK17" s="44" t="s">
        <v>53</v>
      </c>
      <c r="AL17" s="44"/>
      <c r="AM17" s="44"/>
      <c r="AN17" s="44"/>
      <c r="AO17" s="44"/>
      <c r="AP17" s="44"/>
      <c r="AQ17" s="44"/>
      <c r="AR17" s="44"/>
    </row>
    <row r="18" spans="1:44" ht="15.75">
      <c r="A18" s="41">
        <v>12</v>
      </c>
      <c r="B18" s="42" t="s">
        <v>70</v>
      </c>
      <c r="C18" s="48"/>
      <c r="D18" s="44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6"/>
      <c r="AA18" s="46"/>
      <c r="AB18" s="46"/>
      <c r="AC18" s="46"/>
      <c r="AD18" s="46"/>
      <c r="AE18" s="46"/>
      <c r="AF18" s="46"/>
      <c r="AG18" s="46"/>
      <c r="AH18" s="46"/>
      <c r="AI18" s="46" t="s">
        <v>79</v>
      </c>
      <c r="AJ18" s="52" t="s">
        <v>80</v>
      </c>
      <c r="AK18" s="44" t="s">
        <v>76</v>
      </c>
      <c r="AL18" s="53" t="s">
        <v>81</v>
      </c>
      <c r="AM18" s="44"/>
      <c r="AN18" s="44"/>
      <c r="AO18" s="44"/>
      <c r="AP18" s="44"/>
      <c r="AQ18" s="44"/>
      <c r="AR18" s="44"/>
    </row>
    <row r="19" spans="1:44" ht="15.75">
      <c r="A19" s="41">
        <v>13</v>
      </c>
      <c r="B19" s="42" t="s">
        <v>72</v>
      </c>
      <c r="C19" s="48">
        <v>26183842</v>
      </c>
      <c r="D19" s="48">
        <v>7863924</v>
      </c>
      <c r="E19" s="45">
        <v>1</v>
      </c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4" t="s">
        <v>82</v>
      </c>
      <c r="AK19" s="44" t="s">
        <v>76</v>
      </c>
      <c r="AL19" s="53" t="s">
        <v>81</v>
      </c>
      <c r="AM19" s="44"/>
      <c r="AN19" s="44"/>
      <c r="AO19" s="44"/>
      <c r="AP19" s="44"/>
      <c r="AQ19" s="44"/>
      <c r="AR19" s="44"/>
    </row>
    <row r="20" spans="1:44" ht="15.75">
      <c r="A20" s="41">
        <v>14</v>
      </c>
      <c r="B20" s="48" t="s">
        <v>83</v>
      </c>
      <c r="C20" s="48">
        <v>26183491</v>
      </c>
      <c r="D20" s="48">
        <v>7863415</v>
      </c>
      <c r="E20" s="45"/>
      <c r="F20" s="45"/>
      <c r="G20" s="45"/>
      <c r="H20" s="45"/>
      <c r="I20" s="45"/>
      <c r="J20" s="45"/>
      <c r="K20" s="45">
        <v>1</v>
      </c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4" t="s">
        <v>84</v>
      </c>
      <c r="AK20" s="44" t="s">
        <v>76</v>
      </c>
      <c r="AL20" s="53" t="s">
        <v>81</v>
      </c>
      <c r="AM20" s="44"/>
      <c r="AN20" s="44"/>
      <c r="AO20" s="44"/>
      <c r="AP20" s="44"/>
      <c r="AQ20" s="44"/>
      <c r="AR20" s="44"/>
    </row>
    <row r="21" spans="1:44" ht="15.75">
      <c r="A21" s="41">
        <v>15</v>
      </c>
      <c r="B21" s="48"/>
      <c r="C21" s="48"/>
      <c r="D21" s="48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4"/>
      <c r="AK21" s="44"/>
      <c r="AL21" s="44"/>
      <c r="AM21" s="44"/>
      <c r="AN21" s="44"/>
      <c r="AO21" s="44"/>
      <c r="AP21" s="44"/>
      <c r="AQ21" s="44"/>
      <c r="AR21" s="44"/>
    </row>
    <row r="22" spans="1:44" ht="15.75">
      <c r="A22" s="41">
        <v>16</v>
      </c>
      <c r="B22" s="42"/>
      <c r="C22" s="48"/>
      <c r="D22" s="44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4"/>
      <c r="AK22" s="44"/>
      <c r="AL22" s="44"/>
      <c r="AM22" s="44"/>
      <c r="AN22" s="44"/>
      <c r="AO22" s="44"/>
      <c r="AP22" s="44"/>
      <c r="AQ22" s="44"/>
      <c r="AR22" s="44"/>
    </row>
    <row r="23" spans="1:44" ht="15.75">
      <c r="A23" s="41">
        <v>17</v>
      </c>
      <c r="B23" s="48"/>
      <c r="C23" s="48"/>
      <c r="D23" s="49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4"/>
      <c r="AK23" s="44"/>
      <c r="AL23" s="44"/>
      <c r="AM23" s="44"/>
      <c r="AN23" s="44"/>
      <c r="AO23" s="44"/>
      <c r="AP23" s="44"/>
      <c r="AQ23" s="44"/>
      <c r="AR23" s="44"/>
    </row>
    <row r="24" spans="1:44" ht="15.75">
      <c r="A24" s="41">
        <v>18</v>
      </c>
      <c r="B24" s="48"/>
      <c r="C24" s="48"/>
      <c r="D24" s="51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4"/>
      <c r="AK24" s="44"/>
      <c r="AL24" s="44"/>
      <c r="AM24" s="44"/>
      <c r="AN24" s="44"/>
      <c r="AO24" s="44"/>
      <c r="AP24" s="44"/>
      <c r="AQ24" s="44"/>
      <c r="AR24" s="44"/>
    </row>
    <row r="25" spans="1:44" ht="15.75">
      <c r="A25" s="41">
        <v>19</v>
      </c>
      <c r="B25" s="48"/>
      <c r="C25" s="48"/>
      <c r="D25" s="48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4"/>
      <c r="AK25" s="44"/>
      <c r="AL25" s="44"/>
      <c r="AM25" s="44"/>
      <c r="AN25" s="44"/>
      <c r="AO25" s="44"/>
      <c r="AP25" s="44"/>
      <c r="AQ25" s="44"/>
      <c r="AR25" s="44"/>
    </row>
    <row r="26" spans="1:44" ht="15.75">
      <c r="A26" s="41">
        <v>20</v>
      </c>
      <c r="B26" s="48"/>
      <c r="C26" s="48"/>
      <c r="D26" s="48"/>
      <c r="E26" s="54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4"/>
      <c r="AK26" s="44"/>
      <c r="AL26" s="44"/>
      <c r="AM26" s="55"/>
      <c r="AN26" s="52"/>
      <c r="AO26" s="44"/>
      <c r="AP26" s="44"/>
      <c r="AQ26" s="44"/>
      <c r="AR26" s="44"/>
    </row>
    <row r="27" spans="1:44" ht="15.75">
      <c r="A27" s="41">
        <v>21</v>
      </c>
      <c r="B27" s="48"/>
      <c r="C27" s="49"/>
      <c r="D27" s="48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4"/>
      <c r="AK27" s="44"/>
      <c r="AL27" s="44"/>
      <c r="AM27" s="44"/>
      <c r="AN27" s="44"/>
      <c r="AO27" s="44"/>
      <c r="AP27" s="44"/>
      <c r="AQ27" s="44"/>
      <c r="AR27" s="44"/>
    </row>
    <row r="28" spans="1:44" ht="15.75">
      <c r="A28" s="41">
        <v>22</v>
      </c>
      <c r="B28" s="42"/>
      <c r="C28" s="48"/>
      <c r="D28" s="44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4"/>
      <c r="AK28" s="44"/>
      <c r="AL28" s="44"/>
      <c r="AM28" s="44"/>
      <c r="AN28" s="44"/>
      <c r="AO28" s="44"/>
      <c r="AP28" s="44"/>
      <c r="AQ28" s="44"/>
      <c r="AR28" s="44"/>
    </row>
    <row r="29" spans="1:44" ht="15.75">
      <c r="A29" s="41">
        <v>23</v>
      </c>
      <c r="B29" s="42"/>
      <c r="C29" s="48"/>
      <c r="D29" s="44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4"/>
      <c r="AK29" s="44"/>
      <c r="AL29" s="44"/>
      <c r="AM29" s="44"/>
      <c r="AN29" s="44"/>
      <c r="AO29" s="44"/>
      <c r="AP29" s="44"/>
      <c r="AQ29" s="44"/>
      <c r="AR29" s="44"/>
    </row>
    <row r="30" spans="1:44" ht="15.75">
      <c r="A30" s="41">
        <v>24</v>
      </c>
      <c r="B30" s="42"/>
      <c r="C30" s="48"/>
      <c r="D30" s="56"/>
      <c r="E30" s="54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4"/>
      <c r="AK30" s="44"/>
      <c r="AL30" s="44"/>
      <c r="AM30" s="44"/>
      <c r="AN30" s="44"/>
      <c r="AO30" s="44"/>
      <c r="AP30" s="44"/>
      <c r="AQ30" s="44"/>
      <c r="AR30" s="44"/>
    </row>
    <row r="31" spans="1:44" ht="15.75">
      <c r="A31" s="41">
        <v>25</v>
      </c>
      <c r="B31" s="42"/>
      <c r="C31" s="49"/>
      <c r="D31" s="44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4"/>
      <c r="AK31" s="44"/>
      <c r="AL31" s="44"/>
      <c r="AM31" s="44"/>
      <c r="AN31" s="44"/>
      <c r="AO31" s="44"/>
      <c r="AP31" s="44"/>
      <c r="AQ31" s="44"/>
      <c r="AR31" s="44"/>
    </row>
    <row r="32" spans="1:44" ht="15.75">
      <c r="A32" s="41">
        <v>26</v>
      </c>
      <c r="B32" s="42"/>
      <c r="C32" s="48"/>
      <c r="D32" s="44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4"/>
      <c r="AK32" s="44"/>
      <c r="AL32" s="44"/>
      <c r="AM32" s="44"/>
      <c r="AN32" s="44"/>
      <c r="AO32" s="44"/>
      <c r="AP32" s="44"/>
      <c r="AQ32" s="44"/>
      <c r="AR32" s="44"/>
    </row>
    <row r="33" spans="1:44" ht="15.75">
      <c r="A33" s="41">
        <v>27</v>
      </c>
      <c r="B33" s="42"/>
      <c r="C33" s="50"/>
      <c r="D33" s="57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4"/>
      <c r="AK33" s="44"/>
      <c r="AL33" s="44"/>
      <c r="AM33" s="44"/>
      <c r="AN33" s="44"/>
      <c r="AO33" s="44"/>
      <c r="AP33" s="44"/>
      <c r="AQ33" s="44"/>
      <c r="AR33" s="44"/>
    </row>
    <row r="34" spans="1:44" ht="15.75">
      <c r="A34" s="41">
        <v>28</v>
      </c>
      <c r="B34" s="42"/>
      <c r="C34" s="48"/>
      <c r="D34" s="48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4"/>
      <c r="AK34" s="44"/>
      <c r="AL34" s="44"/>
      <c r="AM34" s="44"/>
      <c r="AN34" s="44"/>
      <c r="AO34" s="44"/>
      <c r="AP34" s="44"/>
      <c r="AQ34" s="44"/>
      <c r="AR34" s="44"/>
    </row>
    <row r="35" spans="1:44" ht="15.75">
      <c r="A35" s="41">
        <v>29</v>
      </c>
      <c r="B35" s="42"/>
      <c r="C35" s="43"/>
      <c r="D35" s="50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4"/>
      <c r="AK35" s="44"/>
      <c r="AL35" s="44"/>
      <c r="AM35" s="44"/>
      <c r="AN35" s="44"/>
      <c r="AO35" s="44"/>
      <c r="AP35" s="44"/>
      <c r="AQ35" s="44"/>
      <c r="AR35" s="44"/>
    </row>
    <row r="36" spans="1:44" ht="15.75">
      <c r="A36" s="41">
        <v>30</v>
      </c>
      <c r="B36" s="42"/>
      <c r="C36" s="48"/>
      <c r="D36" s="48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4"/>
      <c r="AK36" s="44"/>
      <c r="AL36" s="44"/>
      <c r="AM36" s="44"/>
      <c r="AN36" s="44"/>
      <c r="AO36" s="44"/>
      <c r="AP36" s="44"/>
      <c r="AQ36" s="44"/>
      <c r="AR36" s="5"/>
    </row>
    <row r="37" spans="1:44" ht="15.75">
      <c r="A37" s="41">
        <v>31</v>
      </c>
      <c r="B37" s="42"/>
      <c r="C37" s="48"/>
      <c r="D37" s="4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45"/>
      <c r="X37" s="45"/>
      <c r="Y37" s="45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4"/>
      <c r="AK37" s="44"/>
      <c r="AL37" s="44"/>
      <c r="AM37" s="44"/>
      <c r="AN37" s="44"/>
      <c r="AO37" s="44"/>
      <c r="AP37" s="44"/>
      <c r="AQ37" s="44"/>
      <c r="AR37" s="5"/>
    </row>
    <row r="38" spans="1:44" ht="15.75">
      <c r="A38" s="41">
        <v>32</v>
      </c>
      <c r="B38" s="42"/>
      <c r="C38" s="48"/>
      <c r="D38" s="4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45"/>
      <c r="X38" s="45"/>
      <c r="Y38" s="45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4"/>
      <c r="AK38" s="44"/>
      <c r="AL38" s="44"/>
      <c r="AM38" s="44"/>
      <c r="AN38" s="44"/>
      <c r="AO38" s="44"/>
      <c r="AP38" s="44"/>
      <c r="AQ38" s="44"/>
      <c r="AR38" s="5"/>
    </row>
    <row r="39" spans="1:44" ht="15.75">
      <c r="A39" s="41">
        <v>33</v>
      </c>
      <c r="B39" s="42"/>
      <c r="C39" s="48"/>
      <c r="D39" s="51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45"/>
      <c r="X39" s="45"/>
      <c r="Y39" s="45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4"/>
      <c r="AK39" s="44"/>
      <c r="AL39" s="44"/>
      <c r="AM39" s="44"/>
      <c r="AN39" s="44"/>
      <c r="AO39" s="44"/>
      <c r="AP39" s="44"/>
      <c r="AQ39" s="44"/>
      <c r="AR39" s="5"/>
    </row>
    <row r="40" spans="1:44" ht="15.75">
      <c r="A40" s="41">
        <v>34</v>
      </c>
      <c r="B40" s="42"/>
      <c r="C40" s="48"/>
      <c r="D40" s="4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45"/>
      <c r="X40" s="45"/>
      <c r="Y40" s="45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4"/>
      <c r="AK40" s="44"/>
      <c r="AL40" s="44"/>
      <c r="AM40" s="44"/>
      <c r="AN40" s="44"/>
      <c r="AO40" s="44"/>
      <c r="AP40" s="44"/>
      <c r="AQ40" s="44"/>
      <c r="AR40" s="5"/>
    </row>
    <row r="41" spans="1:44" ht="15.75">
      <c r="A41" s="41">
        <v>35</v>
      </c>
      <c r="B41" s="42"/>
      <c r="C41" s="48"/>
      <c r="D41" s="4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45"/>
      <c r="X41" s="45"/>
      <c r="Y41" s="45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4"/>
      <c r="AK41" s="44"/>
      <c r="AL41" s="44"/>
      <c r="AM41" s="44"/>
      <c r="AN41" s="44"/>
      <c r="AO41" s="44"/>
      <c r="AP41" s="44"/>
      <c r="AQ41" s="44"/>
      <c r="AR41" s="5"/>
    </row>
    <row r="42" spans="1:44" ht="15.75">
      <c r="A42" s="41">
        <v>36</v>
      </c>
      <c r="B42" s="42"/>
      <c r="C42" s="48"/>
      <c r="D42" s="4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45"/>
      <c r="X42" s="45"/>
      <c r="Y42" s="45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4"/>
      <c r="AK42" s="44"/>
      <c r="AL42" s="44"/>
      <c r="AM42" s="44"/>
      <c r="AN42" s="44"/>
      <c r="AO42" s="44"/>
      <c r="AP42" s="44"/>
      <c r="AQ42" s="44"/>
      <c r="AR42" s="44"/>
    </row>
    <row r="43" spans="1:44" ht="15.75">
      <c r="A43" s="41">
        <v>37</v>
      </c>
      <c r="B43" s="42"/>
      <c r="C43" s="48"/>
      <c r="D43" s="44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45"/>
      <c r="X43" s="45"/>
      <c r="Y43" s="45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4"/>
      <c r="AK43" s="44"/>
      <c r="AL43" s="44"/>
      <c r="AM43" s="44"/>
      <c r="AN43" s="44"/>
      <c r="AO43" s="44"/>
      <c r="AP43" s="44"/>
      <c r="AQ43" s="44"/>
      <c r="AR43" s="44"/>
    </row>
    <row r="44" spans="1:44" ht="15.75">
      <c r="A44" s="41">
        <v>38</v>
      </c>
      <c r="B44" s="42"/>
      <c r="C44" s="48"/>
      <c r="D44" s="44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45"/>
      <c r="X44" s="45"/>
      <c r="Y44" s="45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4"/>
      <c r="AK44" s="44"/>
      <c r="AL44" s="44"/>
      <c r="AM44" s="44"/>
      <c r="AN44" s="44"/>
      <c r="AO44" s="44"/>
      <c r="AP44" s="44"/>
      <c r="AQ44" s="44"/>
      <c r="AR44" s="44"/>
    </row>
    <row r="45" spans="1:44" ht="15.75">
      <c r="A45" s="41">
        <v>39</v>
      </c>
      <c r="B45" s="42"/>
      <c r="C45" s="48"/>
      <c r="D45" s="44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45"/>
      <c r="X45" s="45"/>
      <c r="Y45" s="45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4"/>
      <c r="AK45" s="44"/>
      <c r="AL45" s="44"/>
      <c r="AM45" s="44"/>
      <c r="AN45" s="44"/>
      <c r="AO45" s="44"/>
      <c r="AP45" s="44"/>
      <c r="AQ45" s="44"/>
      <c r="AR45" s="44"/>
    </row>
    <row r="46" spans="1:44" ht="15.75">
      <c r="A46" s="41">
        <v>40</v>
      </c>
      <c r="B46" s="42"/>
      <c r="C46" s="48"/>
      <c r="D46" s="44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45"/>
      <c r="X46" s="45"/>
      <c r="Y46" s="45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4"/>
      <c r="AK46" s="44"/>
      <c r="AL46" s="44"/>
      <c r="AM46" s="44"/>
      <c r="AN46" s="44"/>
      <c r="AO46" s="44"/>
      <c r="AP46" s="44"/>
      <c r="AQ46" s="44"/>
      <c r="AR46" s="44"/>
    </row>
    <row r="47" spans="1:44" ht="15.75">
      <c r="A47" s="41">
        <v>41</v>
      </c>
      <c r="B47" s="42"/>
      <c r="C47" s="48"/>
      <c r="D47" s="44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45"/>
      <c r="X47" s="45"/>
      <c r="Y47" s="45"/>
      <c r="Z47" s="46"/>
      <c r="AA47" s="46"/>
      <c r="AB47" s="46"/>
      <c r="AC47" s="46"/>
      <c r="AD47" s="46"/>
      <c r="AE47" s="46"/>
      <c r="AF47" s="46"/>
      <c r="AG47" s="46"/>
      <c r="AH47" s="46"/>
      <c r="AI47" s="44"/>
      <c r="AJ47" s="44"/>
      <c r="AK47" s="44"/>
      <c r="AL47" s="44"/>
      <c r="AM47" s="44"/>
      <c r="AN47" s="44"/>
      <c r="AO47" s="44"/>
      <c r="AP47" s="44"/>
      <c r="AQ47" s="44"/>
      <c r="AR47" s="44"/>
    </row>
    <row r="48" spans="1:44" ht="15.75">
      <c r="A48" s="41">
        <v>42</v>
      </c>
      <c r="B48" s="42"/>
      <c r="C48" s="48"/>
      <c r="D48" s="44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45"/>
      <c r="X48" s="45"/>
      <c r="Y48" s="45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4"/>
      <c r="AK48" s="44"/>
      <c r="AL48" s="44"/>
      <c r="AM48" s="44"/>
      <c r="AN48" s="44"/>
      <c r="AO48" s="44"/>
      <c r="AP48" s="44"/>
      <c r="AQ48" s="44"/>
      <c r="AR48" s="44"/>
    </row>
    <row r="49" spans="1:44" ht="15.75">
      <c r="A49" s="41">
        <v>43</v>
      </c>
      <c r="B49" s="42"/>
      <c r="C49" s="48"/>
      <c r="D49" s="44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45"/>
      <c r="X49" s="45"/>
      <c r="Y49" s="45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4"/>
      <c r="AK49" s="44"/>
      <c r="AL49" s="44"/>
      <c r="AM49" s="44"/>
      <c r="AN49" s="44"/>
      <c r="AO49" s="44"/>
      <c r="AP49" s="44"/>
      <c r="AQ49" s="44"/>
      <c r="AR49" s="44"/>
    </row>
    <row r="50" spans="1:44" ht="15.75">
      <c r="A50" s="41">
        <v>44</v>
      </c>
      <c r="B50" s="42"/>
      <c r="C50" s="48"/>
      <c r="D50" s="44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45"/>
      <c r="X50" s="45"/>
      <c r="Y50" s="45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4"/>
      <c r="AK50" s="44"/>
      <c r="AL50" s="44"/>
      <c r="AM50" s="44"/>
      <c r="AN50" s="44"/>
      <c r="AO50" s="44"/>
      <c r="AP50" s="44"/>
      <c r="AQ50" s="44"/>
      <c r="AR50" s="44"/>
    </row>
    <row r="51" spans="1:44" ht="15.75">
      <c r="A51" s="41">
        <v>45</v>
      </c>
      <c r="B51" s="42"/>
      <c r="C51" s="48"/>
      <c r="D51" s="44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4"/>
      <c r="AK51" s="44"/>
      <c r="AL51" s="44"/>
      <c r="AM51" s="44"/>
      <c r="AN51" s="44"/>
      <c r="AO51" s="44"/>
      <c r="AP51" s="44"/>
      <c r="AQ51" s="44"/>
      <c r="AR51" s="44"/>
    </row>
    <row r="52" spans="1:44" ht="15.75">
      <c r="A52" s="41">
        <v>46</v>
      </c>
      <c r="B52" s="42"/>
      <c r="C52" s="48"/>
      <c r="D52" s="44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4"/>
      <c r="AK52" s="44"/>
      <c r="AL52" s="44"/>
      <c r="AM52" s="44"/>
      <c r="AN52" s="44"/>
      <c r="AO52" s="44"/>
      <c r="AP52" s="44"/>
      <c r="AQ52" s="44"/>
      <c r="AR52" s="44"/>
    </row>
    <row r="53" spans="1:44" ht="15.75">
      <c r="A53" s="41">
        <v>47</v>
      </c>
      <c r="B53" s="42"/>
      <c r="C53" s="48"/>
      <c r="D53" s="44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4"/>
      <c r="AK53" s="44"/>
      <c r="AL53" s="44"/>
      <c r="AM53" s="44"/>
      <c r="AN53" s="44"/>
      <c r="AO53" s="44"/>
      <c r="AP53" s="44"/>
      <c r="AQ53" s="44"/>
      <c r="AR53" s="44"/>
    </row>
    <row r="54" spans="1:44" ht="15.75">
      <c r="A54" s="41">
        <v>48</v>
      </c>
      <c r="B54" s="42"/>
      <c r="C54" s="48"/>
      <c r="D54" s="44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4"/>
      <c r="AK54" s="44"/>
      <c r="AL54" s="44"/>
      <c r="AM54" s="44"/>
      <c r="AN54" s="44"/>
      <c r="AO54" s="44"/>
      <c r="AP54" s="44"/>
      <c r="AQ54" s="44"/>
      <c r="AR54" s="44"/>
    </row>
    <row r="55" spans="1:44" ht="15.75">
      <c r="A55" s="41">
        <v>49</v>
      </c>
      <c r="B55" s="42"/>
      <c r="C55" s="48"/>
      <c r="D55" s="44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4"/>
      <c r="AK55" s="44"/>
      <c r="AL55" s="44"/>
      <c r="AM55" s="44"/>
      <c r="AN55" s="44"/>
      <c r="AO55" s="44"/>
      <c r="AP55" s="44"/>
      <c r="AQ55" s="44"/>
      <c r="AR55" s="44"/>
    </row>
    <row r="56" spans="1:44" ht="15.75">
      <c r="A56" s="41">
        <v>50</v>
      </c>
      <c r="B56" s="42"/>
      <c r="C56" s="48"/>
      <c r="D56" s="44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4"/>
      <c r="AK56" s="44"/>
      <c r="AL56" s="44"/>
      <c r="AM56" s="44"/>
      <c r="AN56" s="44"/>
      <c r="AO56" s="44"/>
      <c r="AP56" s="44"/>
      <c r="AQ56" s="44"/>
      <c r="AR56" s="44"/>
    </row>
    <row r="57" spans="1:44" ht="15.75">
      <c r="A57" s="41">
        <v>51</v>
      </c>
      <c r="B57" s="42"/>
      <c r="C57" s="56"/>
      <c r="D57" s="44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4"/>
      <c r="AK57" s="44"/>
      <c r="AL57" s="44"/>
      <c r="AM57" s="44"/>
      <c r="AN57" s="44"/>
      <c r="AO57" s="44"/>
      <c r="AP57" s="44"/>
      <c r="AQ57" s="44"/>
      <c r="AR57" s="44"/>
    </row>
    <row r="58" spans="1:44" ht="15.75">
      <c r="A58" s="41">
        <v>52</v>
      </c>
      <c r="B58" s="42"/>
      <c r="C58" s="48"/>
      <c r="D58" s="59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4"/>
      <c r="AK58" s="44"/>
      <c r="AL58" s="44"/>
      <c r="AM58" s="44"/>
      <c r="AN58" s="44"/>
      <c r="AO58" s="44"/>
      <c r="AP58" s="44"/>
      <c r="AQ58" s="44"/>
      <c r="AR58" s="44"/>
    </row>
    <row r="59" spans="1:44" ht="15.75">
      <c r="A59" s="41">
        <v>53</v>
      </c>
      <c r="B59" s="42"/>
      <c r="C59" s="56"/>
      <c r="D59" s="44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4"/>
      <c r="AK59" s="44"/>
      <c r="AL59" s="44"/>
      <c r="AM59" s="44"/>
      <c r="AN59" s="44"/>
      <c r="AO59" s="44"/>
      <c r="AP59" s="44"/>
      <c r="AQ59" s="44"/>
      <c r="AR59" s="44"/>
    </row>
    <row r="60" spans="1:44" ht="15.75">
      <c r="A60" s="41">
        <v>54</v>
      </c>
      <c r="B60" s="42"/>
      <c r="C60" s="48"/>
      <c r="D60" s="44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4"/>
      <c r="AK60" s="44"/>
      <c r="AL60" s="44"/>
      <c r="AM60" s="44"/>
      <c r="AN60" s="44"/>
      <c r="AO60" s="44"/>
      <c r="AP60" s="44"/>
      <c r="AQ60" s="44"/>
      <c r="AR60" s="44"/>
    </row>
    <row r="61" spans="1:44" ht="15.75">
      <c r="A61" s="41">
        <v>55</v>
      </c>
      <c r="B61" s="42"/>
      <c r="C61" s="48"/>
      <c r="D61" s="44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4"/>
      <c r="AK61" s="44"/>
      <c r="AL61" s="44"/>
      <c r="AM61" s="44"/>
      <c r="AN61" s="44"/>
      <c r="AO61" s="44"/>
      <c r="AP61" s="44"/>
      <c r="AQ61" s="44"/>
      <c r="AR61" s="44"/>
    </row>
    <row r="62" spans="1:44" ht="15.75">
      <c r="A62" s="41">
        <v>56</v>
      </c>
      <c r="B62" s="42"/>
      <c r="C62" s="48"/>
      <c r="D62" s="44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4"/>
      <c r="AK62" s="44"/>
      <c r="AL62" s="44"/>
      <c r="AM62" s="44"/>
      <c r="AN62" s="44"/>
      <c r="AO62" s="44"/>
      <c r="AP62" s="44"/>
      <c r="AQ62" s="44"/>
      <c r="AR62" s="44"/>
    </row>
    <row r="63" spans="1:44" ht="15.75">
      <c r="A63" s="41">
        <v>57</v>
      </c>
      <c r="B63" s="42"/>
      <c r="C63" s="48"/>
      <c r="D63" s="44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4"/>
      <c r="AK63" s="44"/>
      <c r="AL63" s="44"/>
      <c r="AM63" s="44"/>
      <c r="AN63" s="44"/>
      <c r="AO63" s="44"/>
      <c r="AP63" s="44"/>
      <c r="AQ63" s="44"/>
      <c r="AR63" s="44"/>
    </row>
    <row r="64" spans="1:44" ht="15.75">
      <c r="A64" s="41">
        <v>58</v>
      </c>
      <c r="B64" s="42"/>
      <c r="C64" s="48"/>
      <c r="D64" s="44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4"/>
      <c r="AK64" s="44"/>
      <c r="AL64" s="44"/>
      <c r="AM64" s="44"/>
      <c r="AN64" s="44"/>
      <c r="AO64" s="44"/>
      <c r="AP64" s="44"/>
      <c r="AQ64" s="44"/>
      <c r="AR64" s="44"/>
    </row>
    <row r="65" spans="1:44" ht="15.75">
      <c r="A65" s="41">
        <v>59</v>
      </c>
      <c r="B65" s="42"/>
      <c r="C65" s="48"/>
      <c r="D65" s="44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4"/>
      <c r="AK65" s="44"/>
      <c r="AL65" s="44"/>
      <c r="AM65" s="44"/>
      <c r="AN65" s="44"/>
      <c r="AO65" s="44"/>
      <c r="AP65" s="44"/>
      <c r="AQ65" s="44"/>
      <c r="AR65" s="44"/>
    </row>
    <row r="66" spans="1:44" ht="15.75">
      <c r="A66" s="41">
        <v>60</v>
      </c>
      <c r="B66" s="42"/>
      <c r="C66" s="48"/>
      <c r="D66" s="44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4"/>
      <c r="AK66" s="44"/>
      <c r="AL66" s="44"/>
      <c r="AM66" s="44"/>
      <c r="AN66" s="44"/>
      <c r="AO66" s="44"/>
      <c r="AP66" s="44"/>
      <c r="AQ66" s="44"/>
      <c r="AR66" s="44"/>
    </row>
    <row r="67" spans="1:44" ht="15.75">
      <c r="A67" s="41">
        <v>61</v>
      </c>
      <c r="B67" s="42"/>
      <c r="C67" s="48"/>
      <c r="D67" s="44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4"/>
      <c r="AK67" s="44"/>
      <c r="AL67" s="44"/>
      <c r="AM67" s="44"/>
      <c r="AN67" s="44"/>
      <c r="AO67" s="44"/>
      <c r="AP67" s="44"/>
      <c r="AQ67" s="44"/>
      <c r="AR67" s="44"/>
    </row>
    <row r="68" spans="1:44" ht="15.75">
      <c r="A68" s="41">
        <v>62</v>
      </c>
      <c r="B68" s="42"/>
      <c r="C68" s="48"/>
      <c r="D68" s="44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4"/>
      <c r="AK68" s="44"/>
      <c r="AL68" s="44"/>
      <c r="AM68" s="44"/>
      <c r="AN68" s="44"/>
      <c r="AO68" s="44"/>
      <c r="AP68" s="44"/>
      <c r="AQ68" s="44"/>
      <c r="AR68" s="44"/>
    </row>
    <row r="69" spans="1:44" ht="15.75">
      <c r="A69" s="41">
        <v>63</v>
      </c>
      <c r="B69" s="42"/>
      <c r="C69" s="48"/>
      <c r="D69" s="44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4"/>
      <c r="AK69" s="44"/>
      <c r="AL69" s="44"/>
      <c r="AM69" s="44"/>
      <c r="AN69" s="44"/>
      <c r="AO69" s="44"/>
      <c r="AP69" s="44"/>
      <c r="AQ69" s="44"/>
      <c r="AR69" s="44"/>
    </row>
    <row r="70" spans="1:44" ht="15.75">
      <c r="A70" s="41">
        <v>64</v>
      </c>
      <c r="B70" s="42"/>
      <c r="C70" s="48"/>
      <c r="D70" s="44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4"/>
      <c r="AK70" s="44"/>
      <c r="AL70" s="44"/>
      <c r="AM70" s="44"/>
      <c r="AN70" s="44"/>
      <c r="AO70" s="44"/>
      <c r="AP70" s="44"/>
      <c r="AQ70" s="44"/>
      <c r="AR70" s="44"/>
    </row>
    <row r="71" spans="1:44" ht="15.75">
      <c r="A71" s="41">
        <v>65</v>
      </c>
      <c r="B71" s="42"/>
      <c r="C71" s="48"/>
      <c r="D71" s="44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4"/>
      <c r="AK71" s="44"/>
      <c r="AL71" s="44"/>
      <c r="AM71" s="44"/>
      <c r="AN71" s="44"/>
      <c r="AO71" s="44"/>
      <c r="AP71" s="44"/>
      <c r="AQ71" s="44"/>
      <c r="AR71" s="44"/>
    </row>
    <row r="72" spans="1:44" ht="15.75">
      <c r="A72" s="41">
        <v>66</v>
      </c>
      <c r="B72" s="42"/>
      <c r="C72" s="48"/>
      <c r="D72" s="44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4"/>
      <c r="AK72" s="44"/>
      <c r="AL72" s="44"/>
      <c r="AM72" s="44"/>
      <c r="AN72" s="44"/>
      <c r="AO72" s="44"/>
      <c r="AP72" s="44"/>
      <c r="AQ72" s="44"/>
      <c r="AR72" s="44"/>
    </row>
    <row r="73" spans="1:44" ht="15.75">
      <c r="A73" s="41">
        <v>67</v>
      </c>
      <c r="B73" s="42"/>
      <c r="C73" s="48"/>
      <c r="D73" s="44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4"/>
      <c r="AK73" s="44"/>
      <c r="AL73" s="44"/>
      <c r="AM73" s="44"/>
      <c r="AN73" s="44"/>
      <c r="AO73" s="44"/>
      <c r="AP73" s="44"/>
      <c r="AQ73" s="44"/>
      <c r="AR73" s="44"/>
    </row>
    <row r="74" spans="1:44" ht="15.75">
      <c r="A74" s="41">
        <v>68</v>
      </c>
      <c r="B74" s="42"/>
      <c r="C74" s="48"/>
      <c r="D74" s="44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4"/>
      <c r="AK74" s="44"/>
      <c r="AL74" s="44"/>
      <c r="AM74" s="44"/>
      <c r="AN74" s="44"/>
      <c r="AO74" s="44"/>
      <c r="AP74" s="44"/>
      <c r="AQ74" s="44"/>
      <c r="AR74" s="44"/>
    </row>
    <row r="75" spans="1:44" ht="15.75">
      <c r="A75" s="41">
        <v>69</v>
      </c>
      <c r="B75" s="42"/>
      <c r="C75" s="48"/>
      <c r="D75" s="44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4"/>
      <c r="AK75" s="44"/>
      <c r="AL75" s="44"/>
      <c r="AM75" s="44"/>
      <c r="AN75" s="44"/>
      <c r="AO75" s="44"/>
      <c r="AP75" s="44"/>
      <c r="AQ75" s="44"/>
      <c r="AR75" s="44"/>
    </row>
    <row r="76" spans="1:44" ht="15.75">
      <c r="A76" s="41">
        <v>70</v>
      </c>
      <c r="B76" s="42"/>
      <c r="C76" s="48"/>
      <c r="D76" s="44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4"/>
      <c r="AK76" s="44"/>
      <c r="AL76" s="44"/>
      <c r="AM76" s="44"/>
      <c r="AN76" s="44"/>
      <c r="AO76" s="44"/>
      <c r="AP76" s="44"/>
      <c r="AQ76" s="44"/>
      <c r="AR76" s="44"/>
    </row>
    <row r="77" spans="1:44" ht="15.75">
      <c r="A77" s="41">
        <v>71</v>
      </c>
      <c r="B77" s="42"/>
      <c r="C77" s="48"/>
      <c r="D77" s="44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4"/>
      <c r="AK77" s="44"/>
      <c r="AL77" s="44"/>
      <c r="AM77" s="44"/>
      <c r="AN77" s="44"/>
      <c r="AO77" s="44"/>
      <c r="AP77" s="44"/>
      <c r="AQ77" s="44"/>
      <c r="AR77" s="44"/>
    </row>
    <row r="78" spans="1:44" ht="15.75">
      <c r="A78" s="41">
        <v>72</v>
      </c>
      <c r="B78" s="42"/>
      <c r="C78" s="48"/>
      <c r="D78" s="44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4"/>
      <c r="AK78" s="44"/>
      <c r="AL78" s="44"/>
      <c r="AM78" s="44"/>
      <c r="AN78" s="44"/>
      <c r="AO78" s="44"/>
      <c r="AP78" s="44"/>
      <c r="AQ78" s="44"/>
      <c r="AR78" s="44"/>
    </row>
    <row r="79" spans="1:44" ht="15.75">
      <c r="A79" s="41">
        <v>73</v>
      </c>
      <c r="B79" s="42"/>
      <c r="C79" s="48"/>
      <c r="D79" s="44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4"/>
      <c r="AK79" s="44"/>
      <c r="AL79" s="44"/>
      <c r="AM79" s="44"/>
      <c r="AN79" s="44"/>
      <c r="AO79" s="44"/>
      <c r="AP79" s="44"/>
      <c r="AQ79" s="44"/>
      <c r="AR79" s="44"/>
    </row>
    <row r="80" spans="1:44" ht="15.75">
      <c r="A80" s="41">
        <v>74</v>
      </c>
      <c r="B80" s="42"/>
      <c r="C80" s="48"/>
      <c r="D80" s="44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4"/>
      <c r="AK80" s="44"/>
      <c r="AL80" s="44"/>
      <c r="AM80" s="44"/>
      <c r="AN80" s="44"/>
      <c r="AO80" s="44"/>
      <c r="AP80" s="44"/>
      <c r="AQ80" s="44"/>
      <c r="AR80" s="44"/>
    </row>
    <row r="81" spans="1:44" ht="15.75">
      <c r="A81" s="41">
        <v>75</v>
      </c>
      <c r="B81" s="42"/>
      <c r="C81" s="48"/>
      <c r="D81" s="44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4"/>
      <c r="AK81" s="44"/>
      <c r="AL81" s="44"/>
      <c r="AM81" s="44"/>
      <c r="AN81" s="44"/>
      <c r="AO81" s="44"/>
      <c r="AP81" s="44"/>
      <c r="AQ81" s="44"/>
      <c r="AR81" s="44"/>
    </row>
    <row r="82" spans="1:44" ht="15.75">
      <c r="A82" s="41">
        <v>76</v>
      </c>
      <c r="B82" s="42"/>
      <c r="C82" s="48"/>
      <c r="D82" s="44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4"/>
      <c r="AK82" s="44"/>
      <c r="AL82" s="44"/>
      <c r="AM82" s="44"/>
      <c r="AN82" s="44"/>
      <c r="AO82" s="44"/>
      <c r="AP82" s="44"/>
      <c r="AQ82" s="44"/>
      <c r="AR82" s="44"/>
    </row>
    <row r="83" spans="1:44" ht="15.75">
      <c r="A83" s="41">
        <v>77</v>
      </c>
      <c r="B83" s="42"/>
      <c r="C83" s="48"/>
      <c r="D83" s="44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4"/>
      <c r="AK83" s="44"/>
      <c r="AL83" s="44"/>
      <c r="AM83" s="44"/>
      <c r="AN83" s="44"/>
      <c r="AO83" s="44"/>
      <c r="AP83" s="44"/>
      <c r="AQ83" s="44"/>
      <c r="AR83" s="44"/>
    </row>
    <row r="84" spans="1:44" ht="15.75">
      <c r="A84" s="41">
        <v>78</v>
      </c>
      <c r="B84" s="42"/>
      <c r="C84" s="48"/>
      <c r="D84" s="44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4"/>
      <c r="AK84" s="44"/>
      <c r="AL84" s="44"/>
      <c r="AM84" s="44"/>
      <c r="AN84" s="44"/>
      <c r="AO84" s="44"/>
      <c r="AP84" s="44"/>
      <c r="AQ84" s="44"/>
      <c r="AR84" s="44"/>
    </row>
    <row r="85" spans="1:44" ht="15.75">
      <c r="A85" s="41">
        <v>79</v>
      </c>
      <c r="B85" s="42"/>
      <c r="C85" s="48"/>
      <c r="D85" s="44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4"/>
      <c r="AK85" s="44"/>
      <c r="AL85" s="44"/>
      <c r="AM85" s="44"/>
      <c r="AN85" s="44"/>
      <c r="AO85" s="44"/>
      <c r="AP85" s="44"/>
      <c r="AQ85" s="44"/>
      <c r="AR85" s="44"/>
    </row>
    <row r="86" spans="1:44" ht="15.75">
      <c r="A86" s="41">
        <v>80</v>
      </c>
      <c r="B86" s="42"/>
      <c r="C86" s="48"/>
      <c r="D86" s="44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4"/>
      <c r="AK86" s="44"/>
      <c r="AL86" s="44"/>
      <c r="AM86" s="44"/>
      <c r="AN86" s="44"/>
      <c r="AO86" s="44"/>
      <c r="AP86" s="44"/>
      <c r="AQ86" s="44"/>
      <c r="AR86" s="44"/>
    </row>
    <row r="87" spans="1:44" ht="15.75">
      <c r="A87" s="41">
        <v>81</v>
      </c>
      <c r="B87" s="42"/>
      <c r="C87" s="48"/>
      <c r="D87" s="44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4"/>
      <c r="AK87" s="44"/>
      <c r="AL87" s="44"/>
      <c r="AM87" s="44"/>
      <c r="AN87" s="44"/>
      <c r="AO87" s="44"/>
      <c r="AP87" s="44"/>
      <c r="AQ87" s="44"/>
      <c r="AR87" s="44"/>
    </row>
    <row r="88" spans="1:44" ht="15.75">
      <c r="A88" s="41">
        <v>82</v>
      </c>
      <c r="B88" s="42"/>
      <c r="C88" s="48"/>
      <c r="D88" s="44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4"/>
      <c r="AK88" s="44"/>
      <c r="AL88" s="44"/>
      <c r="AM88" s="44"/>
      <c r="AN88" s="44"/>
      <c r="AO88" s="44"/>
      <c r="AP88" s="44"/>
      <c r="AQ88" s="44"/>
      <c r="AR88" s="44"/>
    </row>
    <row r="89" spans="1:44" ht="15.75">
      <c r="A89" s="41">
        <v>83</v>
      </c>
      <c r="B89" s="42"/>
      <c r="C89" s="48"/>
      <c r="D89" s="44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4"/>
      <c r="AK89" s="44"/>
      <c r="AL89" s="44"/>
      <c r="AM89" s="44"/>
      <c r="AN89" s="44"/>
      <c r="AO89" s="44"/>
      <c r="AP89" s="44"/>
      <c r="AQ89" s="44"/>
      <c r="AR89" s="44"/>
    </row>
    <row r="90" spans="1:44" ht="15.75">
      <c r="A90" s="41">
        <v>84</v>
      </c>
      <c r="B90" s="42"/>
      <c r="C90" s="48"/>
      <c r="D90" s="44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4"/>
      <c r="AK90" s="44"/>
      <c r="AL90" s="44"/>
      <c r="AM90" s="44"/>
      <c r="AN90" s="44"/>
      <c r="AO90" s="44"/>
      <c r="AP90" s="44"/>
      <c r="AQ90" s="44"/>
      <c r="AR90" s="44"/>
    </row>
    <row r="91" spans="1:44" ht="15.75">
      <c r="A91" s="41">
        <v>85</v>
      </c>
      <c r="B91" s="42"/>
      <c r="C91" s="48"/>
      <c r="D91" s="44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4"/>
      <c r="AK91" s="44"/>
      <c r="AL91" s="44"/>
      <c r="AM91" s="44"/>
      <c r="AN91" s="44"/>
      <c r="AO91" s="44"/>
      <c r="AP91" s="44"/>
      <c r="AQ91" s="44"/>
      <c r="AR91" s="44"/>
    </row>
    <row r="92" spans="1:44" ht="15.75">
      <c r="A92" s="41">
        <v>86</v>
      </c>
      <c r="B92" s="42"/>
      <c r="C92" s="48"/>
      <c r="D92" s="44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4"/>
      <c r="AK92" s="44"/>
      <c r="AL92" s="44"/>
      <c r="AM92" s="44"/>
      <c r="AN92" s="44"/>
      <c r="AO92" s="44"/>
      <c r="AP92" s="44"/>
      <c r="AQ92" s="44"/>
      <c r="AR92" s="44"/>
    </row>
    <row r="93" spans="1:44" ht="15.75">
      <c r="A93" s="41">
        <v>87</v>
      </c>
      <c r="B93" s="42"/>
      <c r="C93" s="48"/>
      <c r="D93" s="44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4"/>
      <c r="AK93" s="44"/>
      <c r="AL93" s="44"/>
      <c r="AM93" s="44"/>
      <c r="AN93" s="44"/>
      <c r="AO93" s="44"/>
      <c r="AP93" s="44"/>
      <c r="AQ93" s="44"/>
      <c r="AR93" s="44"/>
    </row>
    <row r="94" spans="1:44" ht="15.75">
      <c r="A94" s="41">
        <v>88</v>
      </c>
      <c r="B94" s="42"/>
      <c r="C94" s="48"/>
      <c r="D94" s="44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4"/>
      <c r="AK94" s="44"/>
      <c r="AL94" s="44"/>
      <c r="AM94" s="44"/>
      <c r="AN94" s="44"/>
      <c r="AO94" s="44"/>
      <c r="AP94" s="44"/>
      <c r="AQ94" s="44"/>
      <c r="AR94" s="44"/>
    </row>
    <row r="95" spans="1:44" ht="15.75">
      <c r="A95" s="41">
        <v>89</v>
      </c>
      <c r="B95" s="42"/>
      <c r="C95" s="48"/>
      <c r="D95" s="44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4"/>
      <c r="AK95" s="44"/>
      <c r="AL95" s="44"/>
      <c r="AM95" s="44"/>
      <c r="AN95" s="44"/>
      <c r="AO95" s="44"/>
      <c r="AP95" s="44"/>
      <c r="AQ95" s="44"/>
      <c r="AR95" s="44"/>
    </row>
    <row r="96" spans="1:44" ht="15.75">
      <c r="A96" s="41">
        <v>90</v>
      </c>
      <c r="B96" s="42"/>
      <c r="C96" s="48"/>
      <c r="D96" s="44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1"/>
      <c r="AA96" s="61"/>
      <c r="AB96" s="61"/>
      <c r="AC96" s="61"/>
      <c r="AD96" s="61"/>
      <c r="AE96" s="61"/>
      <c r="AF96" s="61"/>
      <c r="AG96" s="61"/>
      <c r="AH96" s="61"/>
      <c r="AI96" s="46"/>
      <c r="AJ96" s="44"/>
      <c r="AK96" s="44"/>
      <c r="AL96" s="44"/>
      <c r="AM96" s="44"/>
      <c r="AN96" s="44"/>
      <c r="AO96" s="44"/>
      <c r="AP96" s="44"/>
      <c r="AQ96" s="44"/>
      <c r="AR96" s="44"/>
    </row>
    <row r="97" spans="1:44" ht="15.75">
      <c r="A97" s="41">
        <v>91</v>
      </c>
      <c r="B97" s="62"/>
      <c r="C97" s="63"/>
      <c r="D97" s="64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4"/>
      <c r="AJ97" s="64"/>
      <c r="AK97" s="64"/>
      <c r="AL97" s="44"/>
      <c r="AM97" s="44"/>
      <c r="AN97" s="44"/>
      <c r="AO97" s="44"/>
      <c r="AP97" s="44"/>
      <c r="AQ97" s="44"/>
      <c r="AR97" s="44"/>
    </row>
    <row r="98" spans="1:44" ht="15.75">
      <c r="A98" s="41">
        <v>92</v>
      </c>
      <c r="B98" s="62"/>
      <c r="C98" s="63"/>
      <c r="D98" s="64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4"/>
      <c r="AJ98" s="64"/>
      <c r="AK98" s="64"/>
      <c r="AL98" s="44"/>
      <c r="AM98" s="44"/>
      <c r="AN98" s="44"/>
      <c r="AO98" s="44"/>
      <c r="AP98" s="44"/>
      <c r="AQ98" s="44"/>
      <c r="AR98" s="44"/>
    </row>
    <row r="99" spans="1:44" ht="15.75">
      <c r="A99" s="41">
        <v>93</v>
      </c>
      <c r="B99" s="62"/>
      <c r="C99" s="63"/>
      <c r="D99" s="64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4"/>
      <c r="AJ99" s="64"/>
      <c r="AK99" s="64"/>
      <c r="AL99" s="44"/>
      <c r="AM99" s="44"/>
      <c r="AN99" s="44"/>
      <c r="AO99" s="44"/>
      <c r="AP99" s="44"/>
      <c r="AQ99" s="44"/>
      <c r="AR99" s="44"/>
    </row>
    <row r="100" spans="1:44" ht="15.75">
      <c r="A100" s="41">
        <v>94</v>
      </c>
      <c r="B100" s="42"/>
      <c r="C100" s="48"/>
      <c r="D100" s="44"/>
      <c r="E100" s="61">
        <f t="shared" ref="E100:AH100" si="0">SUBTOTAL(9,E4:E96)</f>
        <v>2</v>
      </c>
      <c r="F100" s="61">
        <f t="shared" si="0"/>
        <v>0</v>
      </c>
      <c r="G100" s="61">
        <f t="shared" si="0"/>
        <v>0</v>
      </c>
      <c r="H100" s="61">
        <f t="shared" si="0"/>
        <v>1</v>
      </c>
      <c r="I100" s="61">
        <f t="shared" si="0"/>
        <v>0</v>
      </c>
      <c r="J100" s="61">
        <f t="shared" si="0"/>
        <v>1</v>
      </c>
      <c r="K100" s="61">
        <f t="shared" si="0"/>
        <v>1</v>
      </c>
      <c r="L100" s="61">
        <f t="shared" si="0"/>
        <v>0</v>
      </c>
      <c r="M100" s="61">
        <f t="shared" si="0"/>
        <v>0</v>
      </c>
      <c r="N100" s="61">
        <f t="shared" si="0"/>
        <v>0</v>
      </c>
      <c r="O100" s="61">
        <f t="shared" si="0"/>
        <v>5</v>
      </c>
      <c r="P100" s="61">
        <f t="shared" si="0"/>
        <v>2</v>
      </c>
      <c r="Q100" s="61">
        <f t="shared" si="0"/>
        <v>0</v>
      </c>
      <c r="R100" s="61">
        <f t="shared" si="0"/>
        <v>1</v>
      </c>
      <c r="S100" s="61">
        <f t="shared" si="0"/>
        <v>0</v>
      </c>
      <c r="T100" s="61">
        <f t="shared" si="0"/>
        <v>0</v>
      </c>
      <c r="U100" s="61">
        <f t="shared" si="0"/>
        <v>0</v>
      </c>
      <c r="V100" s="61">
        <f t="shared" si="0"/>
        <v>0</v>
      </c>
      <c r="W100" s="61">
        <f t="shared" si="0"/>
        <v>0</v>
      </c>
      <c r="X100" s="61">
        <f t="shared" si="0"/>
        <v>0</v>
      </c>
      <c r="Y100" s="61">
        <f t="shared" si="0"/>
        <v>0</v>
      </c>
      <c r="Z100" s="61">
        <f t="shared" si="0"/>
        <v>0</v>
      </c>
      <c r="AA100" s="61">
        <f t="shared" si="0"/>
        <v>0</v>
      </c>
      <c r="AB100" s="61">
        <f t="shared" si="0"/>
        <v>0</v>
      </c>
      <c r="AC100" s="61">
        <f t="shared" si="0"/>
        <v>0</v>
      </c>
      <c r="AD100" s="61">
        <f t="shared" si="0"/>
        <v>0</v>
      </c>
      <c r="AE100" s="61">
        <f t="shared" si="0"/>
        <v>0</v>
      </c>
      <c r="AF100" s="61">
        <f t="shared" si="0"/>
        <v>0</v>
      </c>
      <c r="AG100" s="61">
        <f t="shared" si="0"/>
        <v>0</v>
      </c>
      <c r="AH100" s="61">
        <f t="shared" si="0"/>
        <v>0</v>
      </c>
      <c r="AI100" s="46"/>
      <c r="AJ100" s="44"/>
      <c r="AK100" s="44"/>
      <c r="AL100" s="44"/>
      <c r="AM100" s="44"/>
      <c r="AN100" s="44"/>
      <c r="AO100" s="44"/>
      <c r="AP100" s="44"/>
      <c r="AQ100" s="44"/>
      <c r="AR100" s="44"/>
    </row>
    <row r="101" spans="1:4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</row>
    <row r="102" spans="1:4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</row>
    <row r="103" spans="1:44">
      <c r="A103" s="5"/>
      <c r="B103" s="5"/>
      <c r="C103" s="66" t="s">
        <v>2</v>
      </c>
      <c r="D103" s="21" t="s">
        <v>3</v>
      </c>
      <c r="E103" s="67" t="s">
        <v>4</v>
      </c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10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</row>
    <row r="104" spans="1:44" ht="15.75">
      <c r="A104" s="5"/>
      <c r="B104" s="5"/>
      <c r="C104" s="12"/>
      <c r="D104" s="12"/>
      <c r="E104" s="68" t="s">
        <v>12</v>
      </c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68" t="s">
        <v>85</v>
      </c>
      <c r="AA104" s="9"/>
      <c r="AB104" s="9"/>
      <c r="AC104" s="9"/>
      <c r="AD104" s="9"/>
      <c r="AE104" s="10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</row>
    <row r="105" spans="1:44">
      <c r="A105" s="5"/>
      <c r="B105" s="5"/>
      <c r="C105" s="12"/>
      <c r="D105" s="12"/>
      <c r="E105" s="23" t="s">
        <v>16</v>
      </c>
      <c r="F105" s="23" t="s">
        <v>17</v>
      </c>
      <c r="G105" s="23" t="s">
        <v>86</v>
      </c>
      <c r="H105" s="23" t="s">
        <v>19</v>
      </c>
      <c r="I105" s="23" t="s">
        <v>20</v>
      </c>
      <c r="J105" s="23" t="s">
        <v>87</v>
      </c>
      <c r="K105" s="23" t="s">
        <v>88</v>
      </c>
      <c r="L105" s="23" t="s">
        <v>23</v>
      </c>
      <c r="M105" s="23" t="s">
        <v>24</v>
      </c>
      <c r="N105" s="23" t="s">
        <v>25</v>
      </c>
      <c r="O105" s="23" t="s">
        <v>26</v>
      </c>
      <c r="P105" s="23" t="s">
        <v>89</v>
      </c>
      <c r="Q105" s="23" t="s">
        <v>90</v>
      </c>
      <c r="R105" s="23" t="s">
        <v>91</v>
      </c>
      <c r="S105" s="23" t="s">
        <v>30</v>
      </c>
      <c r="T105" s="23" t="s">
        <v>31</v>
      </c>
      <c r="U105" s="23" t="s">
        <v>36</v>
      </c>
      <c r="V105" s="69" t="s">
        <v>92</v>
      </c>
      <c r="W105" s="24" t="s">
        <v>34</v>
      </c>
      <c r="X105" s="24" t="s">
        <v>35</v>
      </c>
      <c r="Y105" s="69" t="s">
        <v>93</v>
      </c>
      <c r="Z105" s="21" t="s">
        <v>37</v>
      </c>
      <c r="AA105" s="21" t="s">
        <v>38</v>
      </c>
      <c r="AB105" s="21" t="s">
        <v>39</v>
      </c>
      <c r="AC105" s="21" t="s">
        <v>40</v>
      </c>
      <c r="AD105" s="21" t="s">
        <v>41</v>
      </c>
      <c r="AE105" s="21" t="s">
        <v>42</v>
      </c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</row>
    <row r="106" spans="1:44" ht="168" customHeight="1">
      <c r="A106" s="5"/>
      <c r="B106" s="5"/>
      <c r="C106" s="70"/>
      <c r="D106" s="12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12"/>
      <c r="AA106" s="12"/>
      <c r="AB106" s="12"/>
      <c r="AC106" s="12"/>
      <c r="AD106" s="12"/>
      <c r="AE106" s="12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</row>
    <row r="107" spans="1:44">
      <c r="A107" s="5"/>
      <c r="B107" s="5"/>
      <c r="C107" s="71">
        <v>1</v>
      </c>
      <c r="D107" s="72" t="s">
        <v>94</v>
      </c>
      <c r="E107" s="73">
        <f t="shared" ref="E107:AB117" si="1">SUMIFS(E$7:E$96,$B$7:$B$96,$D107)</f>
        <v>0</v>
      </c>
      <c r="F107" s="73">
        <f t="shared" si="1"/>
        <v>0</v>
      </c>
      <c r="G107" s="73">
        <f t="shared" si="1"/>
        <v>0</v>
      </c>
      <c r="H107" s="73">
        <f t="shared" si="1"/>
        <v>0</v>
      </c>
      <c r="I107" s="73">
        <f t="shared" si="1"/>
        <v>0</v>
      </c>
      <c r="J107" s="73">
        <f t="shared" si="1"/>
        <v>0</v>
      </c>
      <c r="K107" s="73">
        <f t="shared" si="1"/>
        <v>0</v>
      </c>
      <c r="L107" s="73">
        <f t="shared" si="1"/>
        <v>0</v>
      </c>
      <c r="M107" s="73">
        <f t="shared" si="1"/>
        <v>0</v>
      </c>
      <c r="N107" s="73">
        <f t="shared" si="1"/>
        <v>0</v>
      </c>
      <c r="O107" s="73">
        <f t="shared" si="1"/>
        <v>0</v>
      </c>
      <c r="P107" s="73">
        <f t="shared" si="1"/>
        <v>0</v>
      </c>
      <c r="Q107" s="73">
        <f t="shared" si="1"/>
        <v>0</v>
      </c>
      <c r="R107" s="73">
        <f t="shared" si="1"/>
        <v>0</v>
      </c>
      <c r="S107" s="73">
        <f t="shared" si="1"/>
        <v>0</v>
      </c>
      <c r="T107" s="73">
        <f t="shared" si="1"/>
        <v>0</v>
      </c>
      <c r="U107" s="73">
        <f t="shared" si="1"/>
        <v>0</v>
      </c>
      <c r="V107" s="73">
        <f t="shared" si="1"/>
        <v>0</v>
      </c>
      <c r="W107" s="73">
        <f t="shared" si="1"/>
        <v>0</v>
      </c>
      <c r="X107" s="73">
        <f t="shared" si="1"/>
        <v>0</v>
      </c>
      <c r="Y107" s="73">
        <f t="shared" si="1"/>
        <v>0</v>
      </c>
      <c r="Z107" s="73">
        <f t="shared" si="1"/>
        <v>0</v>
      </c>
      <c r="AA107" s="73">
        <f t="shared" si="1"/>
        <v>0</v>
      </c>
      <c r="AB107" s="73">
        <f t="shared" si="1"/>
        <v>0</v>
      </c>
      <c r="AC107" s="73">
        <f t="shared" ref="AC107:AC153" si="2">SUMIFS(AC$7:AC$96,$B$7:$B$96,$D107)+SUMIFS(AD$7:AD$96,$B$7:$B$96,$D107)+SUMIFS(AD$7:AD$96,$B$7:$B$96,$D107)</f>
        <v>0</v>
      </c>
      <c r="AD107" s="73">
        <f t="shared" ref="AD107:AD153" si="3">SUMIFS(AE$7:AE$96,$B$7:$B$96,$D107)+SUMIFS(AF$7:AF$96,$B$7:$B$96,$D107)+SUMIFS(AG$7:AG$96,$B$7:$B$96,$D107)</f>
        <v>0</v>
      </c>
      <c r="AE107" s="73">
        <f t="shared" ref="AE107:AE153" si="4">SUMIFS(AH$7:AH$96,$B$7:$B$96,$D107)</f>
        <v>0</v>
      </c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</row>
    <row r="108" spans="1:44">
      <c r="A108" s="5"/>
      <c r="B108" s="5"/>
      <c r="C108" s="71">
        <v>2</v>
      </c>
      <c r="D108" s="72" t="s">
        <v>95</v>
      </c>
      <c r="E108" s="73">
        <f t="shared" si="1"/>
        <v>0</v>
      </c>
      <c r="F108" s="73">
        <f t="shared" si="1"/>
        <v>0</v>
      </c>
      <c r="G108" s="73">
        <f t="shared" si="1"/>
        <v>0</v>
      </c>
      <c r="H108" s="73">
        <f t="shared" si="1"/>
        <v>0</v>
      </c>
      <c r="I108" s="73">
        <f t="shared" si="1"/>
        <v>0</v>
      </c>
      <c r="J108" s="73">
        <f t="shared" si="1"/>
        <v>0</v>
      </c>
      <c r="K108" s="73">
        <f t="shared" si="1"/>
        <v>0</v>
      </c>
      <c r="L108" s="73">
        <f t="shared" si="1"/>
        <v>0</v>
      </c>
      <c r="M108" s="73">
        <f t="shared" si="1"/>
        <v>0</v>
      </c>
      <c r="N108" s="73">
        <f t="shared" si="1"/>
        <v>0</v>
      </c>
      <c r="O108" s="73">
        <f t="shared" si="1"/>
        <v>0</v>
      </c>
      <c r="P108" s="73">
        <f t="shared" si="1"/>
        <v>0</v>
      </c>
      <c r="Q108" s="73">
        <f t="shared" si="1"/>
        <v>0</v>
      </c>
      <c r="R108" s="73">
        <f t="shared" si="1"/>
        <v>0</v>
      </c>
      <c r="S108" s="73">
        <f t="shared" si="1"/>
        <v>0</v>
      </c>
      <c r="T108" s="73">
        <f t="shared" si="1"/>
        <v>0</v>
      </c>
      <c r="U108" s="73">
        <f t="shared" si="1"/>
        <v>0</v>
      </c>
      <c r="V108" s="73">
        <f t="shared" si="1"/>
        <v>0</v>
      </c>
      <c r="W108" s="73">
        <f t="shared" si="1"/>
        <v>0</v>
      </c>
      <c r="X108" s="73">
        <f t="shared" si="1"/>
        <v>0</v>
      </c>
      <c r="Y108" s="73">
        <f t="shared" si="1"/>
        <v>0</v>
      </c>
      <c r="Z108" s="73">
        <f t="shared" si="1"/>
        <v>0</v>
      </c>
      <c r="AA108" s="73">
        <f t="shared" si="1"/>
        <v>0</v>
      </c>
      <c r="AB108" s="73">
        <f t="shared" si="1"/>
        <v>0</v>
      </c>
      <c r="AC108" s="73">
        <f t="shared" si="2"/>
        <v>0</v>
      </c>
      <c r="AD108" s="73">
        <f t="shared" si="3"/>
        <v>0</v>
      </c>
      <c r="AE108" s="73">
        <f t="shared" si="4"/>
        <v>0</v>
      </c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</row>
    <row r="109" spans="1:44">
      <c r="A109" s="5"/>
      <c r="B109" s="5"/>
      <c r="C109" s="71">
        <v>3</v>
      </c>
      <c r="D109" s="72" t="s">
        <v>54</v>
      </c>
      <c r="E109" s="73">
        <f t="shared" si="1"/>
        <v>0</v>
      </c>
      <c r="F109" s="73">
        <f t="shared" si="1"/>
        <v>0</v>
      </c>
      <c r="G109" s="73">
        <f t="shared" si="1"/>
        <v>0</v>
      </c>
      <c r="H109" s="73">
        <f t="shared" si="1"/>
        <v>0</v>
      </c>
      <c r="I109" s="73">
        <f t="shared" si="1"/>
        <v>0</v>
      </c>
      <c r="J109" s="73">
        <f t="shared" si="1"/>
        <v>0</v>
      </c>
      <c r="K109" s="73">
        <f t="shared" si="1"/>
        <v>0</v>
      </c>
      <c r="L109" s="73">
        <f t="shared" si="1"/>
        <v>0</v>
      </c>
      <c r="M109" s="73">
        <f t="shared" si="1"/>
        <v>0</v>
      </c>
      <c r="N109" s="73">
        <f t="shared" si="1"/>
        <v>0</v>
      </c>
      <c r="O109" s="73">
        <f t="shared" si="1"/>
        <v>0</v>
      </c>
      <c r="P109" s="73">
        <f t="shared" si="1"/>
        <v>0</v>
      </c>
      <c r="Q109" s="73">
        <f t="shared" si="1"/>
        <v>0</v>
      </c>
      <c r="R109" s="73">
        <f t="shared" si="1"/>
        <v>0</v>
      </c>
      <c r="S109" s="73">
        <f t="shared" si="1"/>
        <v>0</v>
      </c>
      <c r="T109" s="73">
        <f t="shared" si="1"/>
        <v>0</v>
      </c>
      <c r="U109" s="73">
        <f t="shared" si="1"/>
        <v>0</v>
      </c>
      <c r="V109" s="73">
        <f t="shared" si="1"/>
        <v>0</v>
      </c>
      <c r="W109" s="73">
        <f t="shared" si="1"/>
        <v>0</v>
      </c>
      <c r="X109" s="73">
        <f t="shared" si="1"/>
        <v>0</v>
      </c>
      <c r="Y109" s="73">
        <f t="shared" si="1"/>
        <v>0</v>
      </c>
      <c r="Z109" s="73">
        <f t="shared" si="1"/>
        <v>0</v>
      </c>
      <c r="AA109" s="73">
        <f t="shared" si="1"/>
        <v>0</v>
      </c>
      <c r="AB109" s="73">
        <f t="shared" si="1"/>
        <v>0</v>
      </c>
      <c r="AC109" s="73">
        <f t="shared" si="2"/>
        <v>0</v>
      </c>
      <c r="AD109" s="73">
        <f t="shared" si="3"/>
        <v>0</v>
      </c>
      <c r="AE109" s="73">
        <f t="shared" si="4"/>
        <v>0</v>
      </c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</row>
    <row r="110" spans="1:44">
      <c r="A110" s="5"/>
      <c r="B110" s="5"/>
      <c r="C110" s="71">
        <v>4</v>
      </c>
      <c r="D110" s="72" t="s">
        <v>96</v>
      </c>
      <c r="E110" s="73">
        <f t="shared" si="1"/>
        <v>0</v>
      </c>
      <c r="F110" s="73">
        <f t="shared" si="1"/>
        <v>0</v>
      </c>
      <c r="G110" s="73">
        <f t="shared" si="1"/>
        <v>0</v>
      </c>
      <c r="H110" s="73">
        <f t="shared" si="1"/>
        <v>0</v>
      </c>
      <c r="I110" s="73">
        <f t="shared" si="1"/>
        <v>0</v>
      </c>
      <c r="J110" s="73">
        <f t="shared" si="1"/>
        <v>0</v>
      </c>
      <c r="K110" s="73">
        <f t="shared" si="1"/>
        <v>0</v>
      </c>
      <c r="L110" s="73">
        <f t="shared" si="1"/>
        <v>0</v>
      </c>
      <c r="M110" s="73">
        <f t="shared" si="1"/>
        <v>0</v>
      </c>
      <c r="N110" s="73">
        <f t="shared" si="1"/>
        <v>0</v>
      </c>
      <c r="O110" s="73">
        <f t="shared" si="1"/>
        <v>0</v>
      </c>
      <c r="P110" s="73">
        <f t="shared" si="1"/>
        <v>0</v>
      </c>
      <c r="Q110" s="73">
        <f t="shared" si="1"/>
        <v>0</v>
      </c>
      <c r="R110" s="73">
        <f t="shared" si="1"/>
        <v>0</v>
      </c>
      <c r="S110" s="73">
        <f t="shared" si="1"/>
        <v>0</v>
      </c>
      <c r="T110" s="73">
        <f t="shared" si="1"/>
        <v>0</v>
      </c>
      <c r="U110" s="73">
        <f t="shared" si="1"/>
        <v>0</v>
      </c>
      <c r="V110" s="73">
        <f t="shared" si="1"/>
        <v>0</v>
      </c>
      <c r="W110" s="73">
        <f t="shared" si="1"/>
        <v>0</v>
      </c>
      <c r="X110" s="73">
        <f t="shared" si="1"/>
        <v>0</v>
      </c>
      <c r="Y110" s="73">
        <f t="shared" si="1"/>
        <v>0</v>
      </c>
      <c r="Z110" s="73">
        <f t="shared" si="1"/>
        <v>0</v>
      </c>
      <c r="AA110" s="73">
        <f t="shared" si="1"/>
        <v>0</v>
      </c>
      <c r="AB110" s="73">
        <f t="shared" si="1"/>
        <v>0</v>
      </c>
      <c r="AC110" s="73">
        <f t="shared" si="2"/>
        <v>0</v>
      </c>
      <c r="AD110" s="73">
        <f t="shared" si="3"/>
        <v>0</v>
      </c>
      <c r="AE110" s="73">
        <f t="shared" si="4"/>
        <v>0</v>
      </c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</row>
    <row r="111" spans="1:44">
      <c r="A111" s="5"/>
      <c r="B111" s="5"/>
      <c r="C111" s="71">
        <v>5</v>
      </c>
      <c r="D111" s="72" t="s">
        <v>97</v>
      </c>
      <c r="E111" s="73">
        <f t="shared" si="1"/>
        <v>0</v>
      </c>
      <c r="F111" s="73">
        <f t="shared" si="1"/>
        <v>0</v>
      </c>
      <c r="G111" s="73">
        <f t="shared" si="1"/>
        <v>0</v>
      </c>
      <c r="H111" s="73">
        <f t="shared" si="1"/>
        <v>0</v>
      </c>
      <c r="I111" s="73">
        <f t="shared" si="1"/>
        <v>0</v>
      </c>
      <c r="J111" s="73">
        <f t="shared" si="1"/>
        <v>0</v>
      </c>
      <c r="K111" s="73">
        <f t="shared" si="1"/>
        <v>0</v>
      </c>
      <c r="L111" s="73">
        <f t="shared" si="1"/>
        <v>0</v>
      </c>
      <c r="M111" s="73">
        <f t="shared" si="1"/>
        <v>0</v>
      </c>
      <c r="N111" s="73">
        <f t="shared" si="1"/>
        <v>0</v>
      </c>
      <c r="O111" s="73">
        <f t="shared" si="1"/>
        <v>0</v>
      </c>
      <c r="P111" s="73">
        <f t="shared" si="1"/>
        <v>0</v>
      </c>
      <c r="Q111" s="73">
        <f t="shared" si="1"/>
        <v>0</v>
      </c>
      <c r="R111" s="73">
        <f t="shared" si="1"/>
        <v>0</v>
      </c>
      <c r="S111" s="73">
        <f t="shared" si="1"/>
        <v>0</v>
      </c>
      <c r="T111" s="73">
        <f t="shared" si="1"/>
        <v>0</v>
      </c>
      <c r="U111" s="73">
        <f t="shared" si="1"/>
        <v>0</v>
      </c>
      <c r="V111" s="73">
        <f t="shared" si="1"/>
        <v>0</v>
      </c>
      <c r="W111" s="73">
        <f t="shared" si="1"/>
        <v>0</v>
      </c>
      <c r="X111" s="73">
        <f t="shared" si="1"/>
        <v>0</v>
      </c>
      <c r="Y111" s="73">
        <f t="shared" si="1"/>
        <v>0</v>
      </c>
      <c r="Z111" s="73">
        <f t="shared" si="1"/>
        <v>0</v>
      </c>
      <c r="AA111" s="73">
        <f t="shared" si="1"/>
        <v>0</v>
      </c>
      <c r="AB111" s="73">
        <f t="shared" si="1"/>
        <v>0</v>
      </c>
      <c r="AC111" s="73">
        <f t="shared" si="2"/>
        <v>0</v>
      </c>
      <c r="AD111" s="73">
        <f t="shared" si="3"/>
        <v>0</v>
      </c>
      <c r="AE111" s="73">
        <f t="shared" si="4"/>
        <v>0</v>
      </c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</row>
    <row r="112" spans="1:44">
      <c r="A112" s="5"/>
      <c r="B112" s="5"/>
      <c r="C112" s="71">
        <v>6</v>
      </c>
      <c r="D112" s="72" t="s">
        <v>98</v>
      </c>
      <c r="E112" s="73">
        <f t="shared" si="1"/>
        <v>0</v>
      </c>
      <c r="F112" s="73">
        <f t="shared" si="1"/>
        <v>0</v>
      </c>
      <c r="G112" s="73">
        <f t="shared" si="1"/>
        <v>0</v>
      </c>
      <c r="H112" s="73">
        <f t="shared" si="1"/>
        <v>0</v>
      </c>
      <c r="I112" s="73">
        <f t="shared" si="1"/>
        <v>0</v>
      </c>
      <c r="J112" s="73">
        <f t="shared" si="1"/>
        <v>0</v>
      </c>
      <c r="K112" s="73">
        <f t="shared" si="1"/>
        <v>0</v>
      </c>
      <c r="L112" s="73">
        <f t="shared" si="1"/>
        <v>0</v>
      </c>
      <c r="M112" s="73">
        <f t="shared" si="1"/>
        <v>0</v>
      </c>
      <c r="N112" s="73">
        <f t="shared" si="1"/>
        <v>0</v>
      </c>
      <c r="O112" s="73">
        <f t="shared" si="1"/>
        <v>0</v>
      </c>
      <c r="P112" s="73">
        <f t="shared" si="1"/>
        <v>0</v>
      </c>
      <c r="Q112" s="73">
        <f t="shared" si="1"/>
        <v>0</v>
      </c>
      <c r="R112" s="73">
        <f t="shared" si="1"/>
        <v>0</v>
      </c>
      <c r="S112" s="73">
        <f t="shared" si="1"/>
        <v>0</v>
      </c>
      <c r="T112" s="73">
        <f t="shared" si="1"/>
        <v>0</v>
      </c>
      <c r="U112" s="73">
        <f t="shared" si="1"/>
        <v>0</v>
      </c>
      <c r="V112" s="73">
        <f t="shared" si="1"/>
        <v>0</v>
      </c>
      <c r="W112" s="73">
        <f t="shared" si="1"/>
        <v>0</v>
      </c>
      <c r="X112" s="73">
        <f t="shared" si="1"/>
        <v>0</v>
      </c>
      <c r="Y112" s="73">
        <f t="shared" si="1"/>
        <v>0</v>
      </c>
      <c r="Z112" s="73">
        <f t="shared" si="1"/>
        <v>0</v>
      </c>
      <c r="AA112" s="73">
        <f t="shared" si="1"/>
        <v>0</v>
      </c>
      <c r="AB112" s="73">
        <f t="shared" si="1"/>
        <v>0</v>
      </c>
      <c r="AC112" s="73">
        <f t="shared" si="2"/>
        <v>0</v>
      </c>
      <c r="AD112" s="73">
        <f t="shared" si="3"/>
        <v>0</v>
      </c>
      <c r="AE112" s="73">
        <f t="shared" si="4"/>
        <v>0</v>
      </c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</row>
    <row r="113" spans="1:44">
      <c r="A113" s="5"/>
      <c r="B113" s="5"/>
      <c r="C113" s="71">
        <v>7</v>
      </c>
      <c r="D113" s="72" t="s">
        <v>51</v>
      </c>
      <c r="E113" s="73">
        <f t="shared" si="1"/>
        <v>0</v>
      </c>
      <c r="F113" s="73">
        <f t="shared" si="1"/>
        <v>0</v>
      </c>
      <c r="G113" s="73">
        <f t="shared" si="1"/>
        <v>0</v>
      </c>
      <c r="H113" s="73">
        <f t="shared" si="1"/>
        <v>0</v>
      </c>
      <c r="I113" s="73">
        <f t="shared" si="1"/>
        <v>0</v>
      </c>
      <c r="J113" s="73">
        <f t="shared" si="1"/>
        <v>0</v>
      </c>
      <c r="K113" s="73">
        <f t="shared" si="1"/>
        <v>0</v>
      </c>
      <c r="L113" s="73">
        <f t="shared" si="1"/>
        <v>0</v>
      </c>
      <c r="M113" s="73">
        <f t="shared" si="1"/>
        <v>0</v>
      </c>
      <c r="N113" s="73">
        <f t="shared" si="1"/>
        <v>0</v>
      </c>
      <c r="O113" s="73">
        <f t="shared" si="1"/>
        <v>3</v>
      </c>
      <c r="P113" s="73">
        <f t="shared" si="1"/>
        <v>0</v>
      </c>
      <c r="Q113" s="73">
        <f t="shared" si="1"/>
        <v>0</v>
      </c>
      <c r="R113" s="73">
        <f t="shared" si="1"/>
        <v>0</v>
      </c>
      <c r="S113" s="73">
        <f t="shared" si="1"/>
        <v>0</v>
      </c>
      <c r="T113" s="73">
        <f t="shared" si="1"/>
        <v>0</v>
      </c>
      <c r="U113" s="73">
        <f t="shared" si="1"/>
        <v>0</v>
      </c>
      <c r="V113" s="73">
        <f t="shared" si="1"/>
        <v>0</v>
      </c>
      <c r="W113" s="73">
        <f t="shared" si="1"/>
        <v>0</v>
      </c>
      <c r="X113" s="73">
        <f t="shared" si="1"/>
        <v>0</v>
      </c>
      <c r="Y113" s="73">
        <f t="shared" si="1"/>
        <v>0</v>
      </c>
      <c r="Z113" s="73">
        <f t="shared" si="1"/>
        <v>0</v>
      </c>
      <c r="AA113" s="73">
        <f t="shared" si="1"/>
        <v>0</v>
      </c>
      <c r="AB113" s="73">
        <f t="shared" si="1"/>
        <v>0</v>
      </c>
      <c r="AC113" s="73">
        <f t="shared" si="2"/>
        <v>0</v>
      </c>
      <c r="AD113" s="73">
        <f t="shared" si="3"/>
        <v>0</v>
      </c>
      <c r="AE113" s="73">
        <f t="shared" si="4"/>
        <v>0</v>
      </c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</row>
    <row r="114" spans="1:44">
      <c r="A114" s="5"/>
      <c r="B114" s="5"/>
      <c r="C114" s="71">
        <v>8</v>
      </c>
      <c r="D114" s="72" t="s">
        <v>83</v>
      </c>
      <c r="E114" s="73">
        <f t="shared" si="1"/>
        <v>0</v>
      </c>
      <c r="F114" s="73">
        <f t="shared" si="1"/>
        <v>0</v>
      </c>
      <c r="G114" s="73">
        <f t="shared" si="1"/>
        <v>0</v>
      </c>
      <c r="H114" s="73">
        <f t="shared" si="1"/>
        <v>0</v>
      </c>
      <c r="I114" s="73">
        <f t="shared" si="1"/>
        <v>0</v>
      </c>
      <c r="J114" s="73">
        <f t="shared" si="1"/>
        <v>0</v>
      </c>
      <c r="K114" s="73">
        <f t="shared" si="1"/>
        <v>1</v>
      </c>
      <c r="L114" s="73">
        <f t="shared" si="1"/>
        <v>0</v>
      </c>
      <c r="M114" s="73">
        <f t="shared" si="1"/>
        <v>0</v>
      </c>
      <c r="N114" s="73">
        <f t="shared" si="1"/>
        <v>0</v>
      </c>
      <c r="O114" s="73">
        <f t="shared" si="1"/>
        <v>0</v>
      </c>
      <c r="P114" s="73">
        <f t="shared" si="1"/>
        <v>0</v>
      </c>
      <c r="Q114" s="73">
        <f t="shared" si="1"/>
        <v>0</v>
      </c>
      <c r="R114" s="73">
        <f t="shared" si="1"/>
        <v>0</v>
      </c>
      <c r="S114" s="73">
        <f t="shared" si="1"/>
        <v>0</v>
      </c>
      <c r="T114" s="73">
        <f t="shared" si="1"/>
        <v>0</v>
      </c>
      <c r="U114" s="73">
        <f t="shared" si="1"/>
        <v>0</v>
      </c>
      <c r="V114" s="73">
        <f t="shared" si="1"/>
        <v>0</v>
      </c>
      <c r="W114" s="73">
        <f t="shared" si="1"/>
        <v>0</v>
      </c>
      <c r="X114" s="73">
        <f t="shared" si="1"/>
        <v>0</v>
      </c>
      <c r="Y114" s="73">
        <f t="shared" si="1"/>
        <v>0</v>
      </c>
      <c r="Z114" s="73">
        <f t="shared" si="1"/>
        <v>0</v>
      </c>
      <c r="AA114" s="73">
        <f t="shared" si="1"/>
        <v>0</v>
      </c>
      <c r="AB114" s="73">
        <f t="shared" si="1"/>
        <v>0</v>
      </c>
      <c r="AC114" s="73">
        <f t="shared" si="2"/>
        <v>0</v>
      </c>
      <c r="AD114" s="73">
        <f t="shared" si="3"/>
        <v>0</v>
      </c>
      <c r="AE114" s="73">
        <f t="shared" si="4"/>
        <v>0</v>
      </c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</row>
    <row r="115" spans="1:44">
      <c r="A115" s="5"/>
      <c r="B115" s="5"/>
      <c r="C115" s="71">
        <v>9</v>
      </c>
      <c r="D115" s="72" t="s">
        <v>99</v>
      </c>
      <c r="E115" s="73">
        <f t="shared" si="1"/>
        <v>0</v>
      </c>
      <c r="F115" s="73">
        <f t="shared" si="1"/>
        <v>0</v>
      </c>
      <c r="G115" s="73">
        <f t="shared" si="1"/>
        <v>0</v>
      </c>
      <c r="H115" s="73">
        <f t="shared" si="1"/>
        <v>0</v>
      </c>
      <c r="I115" s="73">
        <f t="shared" si="1"/>
        <v>0</v>
      </c>
      <c r="J115" s="73">
        <f t="shared" si="1"/>
        <v>0</v>
      </c>
      <c r="K115" s="73">
        <f t="shared" si="1"/>
        <v>0</v>
      </c>
      <c r="L115" s="73">
        <f t="shared" si="1"/>
        <v>0</v>
      </c>
      <c r="M115" s="73">
        <f t="shared" si="1"/>
        <v>0</v>
      </c>
      <c r="N115" s="73">
        <f t="shared" si="1"/>
        <v>0</v>
      </c>
      <c r="O115" s="73">
        <f t="shared" si="1"/>
        <v>0</v>
      </c>
      <c r="P115" s="73">
        <f t="shared" si="1"/>
        <v>0</v>
      </c>
      <c r="Q115" s="73">
        <f t="shared" si="1"/>
        <v>0</v>
      </c>
      <c r="R115" s="73">
        <f t="shared" si="1"/>
        <v>0</v>
      </c>
      <c r="S115" s="73">
        <f t="shared" si="1"/>
        <v>0</v>
      </c>
      <c r="T115" s="73">
        <f t="shared" si="1"/>
        <v>0</v>
      </c>
      <c r="U115" s="73">
        <f t="shared" si="1"/>
        <v>0</v>
      </c>
      <c r="V115" s="73">
        <f t="shared" si="1"/>
        <v>0</v>
      </c>
      <c r="W115" s="73">
        <f t="shared" si="1"/>
        <v>0</v>
      </c>
      <c r="X115" s="73">
        <f t="shared" si="1"/>
        <v>0</v>
      </c>
      <c r="Y115" s="73">
        <f t="shared" si="1"/>
        <v>0</v>
      </c>
      <c r="Z115" s="73">
        <f t="shared" si="1"/>
        <v>0</v>
      </c>
      <c r="AA115" s="73">
        <f t="shared" si="1"/>
        <v>0</v>
      </c>
      <c r="AB115" s="73">
        <f t="shared" si="1"/>
        <v>0</v>
      </c>
      <c r="AC115" s="73">
        <f t="shared" si="2"/>
        <v>0</v>
      </c>
      <c r="AD115" s="73">
        <f t="shared" si="3"/>
        <v>0</v>
      </c>
      <c r="AE115" s="73">
        <f t="shared" si="4"/>
        <v>0</v>
      </c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</row>
    <row r="116" spans="1:44">
      <c r="A116" s="5"/>
      <c r="B116" s="5"/>
      <c r="C116" s="71">
        <v>10</v>
      </c>
      <c r="D116" s="72" t="s">
        <v>100</v>
      </c>
      <c r="E116" s="73">
        <f t="shared" si="1"/>
        <v>0</v>
      </c>
      <c r="F116" s="73">
        <f t="shared" si="1"/>
        <v>0</v>
      </c>
      <c r="G116" s="73">
        <f t="shared" si="1"/>
        <v>0</v>
      </c>
      <c r="H116" s="73">
        <f t="shared" si="1"/>
        <v>0</v>
      </c>
      <c r="I116" s="73">
        <f t="shared" si="1"/>
        <v>0</v>
      </c>
      <c r="J116" s="73">
        <f t="shared" si="1"/>
        <v>0</v>
      </c>
      <c r="K116" s="73">
        <f t="shared" si="1"/>
        <v>0</v>
      </c>
      <c r="L116" s="73">
        <f t="shared" si="1"/>
        <v>0</v>
      </c>
      <c r="M116" s="73">
        <f t="shared" si="1"/>
        <v>0</v>
      </c>
      <c r="N116" s="73">
        <f t="shared" si="1"/>
        <v>0</v>
      </c>
      <c r="O116" s="73">
        <f t="shared" si="1"/>
        <v>0</v>
      </c>
      <c r="P116" s="73">
        <f t="shared" si="1"/>
        <v>0</v>
      </c>
      <c r="Q116" s="73">
        <f t="shared" si="1"/>
        <v>0</v>
      </c>
      <c r="R116" s="73">
        <f t="shared" si="1"/>
        <v>0</v>
      </c>
      <c r="S116" s="73">
        <f t="shared" si="1"/>
        <v>0</v>
      </c>
      <c r="T116" s="73">
        <f t="shared" si="1"/>
        <v>0</v>
      </c>
      <c r="U116" s="73">
        <f t="shared" si="1"/>
        <v>0</v>
      </c>
      <c r="V116" s="73">
        <f t="shared" si="1"/>
        <v>0</v>
      </c>
      <c r="W116" s="73">
        <f t="shared" si="1"/>
        <v>0</v>
      </c>
      <c r="X116" s="73">
        <f t="shared" si="1"/>
        <v>0</v>
      </c>
      <c r="Y116" s="73">
        <f t="shared" si="1"/>
        <v>0</v>
      </c>
      <c r="Z116" s="73">
        <f t="shared" si="1"/>
        <v>0</v>
      </c>
      <c r="AA116" s="73">
        <f t="shared" si="1"/>
        <v>0</v>
      </c>
      <c r="AB116" s="73">
        <f t="shared" si="1"/>
        <v>0</v>
      </c>
      <c r="AC116" s="73">
        <f t="shared" si="2"/>
        <v>0</v>
      </c>
      <c r="AD116" s="73">
        <f t="shared" si="3"/>
        <v>0</v>
      </c>
      <c r="AE116" s="73">
        <f t="shared" si="4"/>
        <v>0</v>
      </c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</row>
    <row r="117" spans="1:44">
      <c r="A117" s="5"/>
      <c r="B117" s="5"/>
      <c r="C117" s="71">
        <v>11</v>
      </c>
      <c r="D117" s="72" t="s">
        <v>101</v>
      </c>
      <c r="E117" s="73">
        <f t="shared" si="1"/>
        <v>0</v>
      </c>
      <c r="F117" s="73">
        <f t="shared" si="1"/>
        <v>0</v>
      </c>
      <c r="G117" s="73">
        <f t="shared" si="1"/>
        <v>0</v>
      </c>
      <c r="H117" s="73">
        <f t="shared" si="1"/>
        <v>0</v>
      </c>
      <c r="I117" s="73">
        <f t="shared" si="1"/>
        <v>0</v>
      </c>
      <c r="J117" s="73">
        <f t="shared" si="1"/>
        <v>0</v>
      </c>
      <c r="K117" s="73">
        <f t="shared" si="1"/>
        <v>0</v>
      </c>
      <c r="L117" s="73">
        <f t="shared" si="1"/>
        <v>0</v>
      </c>
      <c r="M117" s="73">
        <f t="shared" si="1"/>
        <v>0</v>
      </c>
      <c r="N117" s="73">
        <f t="shared" si="1"/>
        <v>0</v>
      </c>
      <c r="O117" s="73">
        <f t="shared" si="1"/>
        <v>0</v>
      </c>
      <c r="P117" s="73">
        <f t="shared" si="1"/>
        <v>0</v>
      </c>
      <c r="Q117" s="73">
        <f t="shared" si="1"/>
        <v>0</v>
      </c>
      <c r="R117" s="73">
        <f t="shared" si="1"/>
        <v>0</v>
      </c>
      <c r="S117" s="73">
        <f t="shared" si="1"/>
        <v>0</v>
      </c>
      <c r="T117" s="73">
        <f t="shared" ref="T117:AQ117" si="5">SUMIFS(T$7:T$96,$B$7:$B$96,$D117)</f>
        <v>0</v>
      </c>
      <c r="U117" s="73">
        <f t="shared" si="5"/>
        <v>0</v>
      </c>
      <c r="V117" s="73">
        <f t="shared" si="5"/>
        <v>0</v>
      </c>
      <c r="W117" s="73">
        <f t="shared" si="5"/>
        <v>0</v>
      </c>
      <c r="X117" s="73">
        <f t="shared" si="5"/>
        <v>0</v>
      </c>
      <c r="Y117" s="73">
        <f t="shared" si="5"/>
        <v>0</v>
      </c>
      <c r="Z117" s="73">
        <f t="shared" si="5"/>
        <v>0</v>
      </c>
      <c r="AA117" s="73">
        <f t="shared" si="5"/>
        <v>0</v>
      </c>
      <c r="AB117" s="73">
        <f t="shared" si="5"/>
        <v>0</v>
      </c>
      <c r="AC117" s="73">
        <f t="shared" si="2"/>
        <v>0</v>
      </c>
      <c r="AD117" s="73">
        <f t="shared" si="3"/>
        <v>0</v>
      </c>
      <c r="AE117" s="73">
        <f t="shared" si="4"/>
        <v>0</v>
      </c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</row>
    <row r="118" spans="1:44">
      <c r="A118" s="5"/>
      <c r="B118" s="5"/>
      <c r="C118" s="71">
        <v>12</v>
      </c>
      <c r="D118" s="72" t="s">
        <v>102</v>
      </c>
      <c r="E118" s="73">
        <f t="shared" ref="E118:AB128" si="6">SUMIFS(E$7:E$96,$B$7:$B$96,$D118)</f>
        <v>0</v>
      </c>
      <c r="F118" s="73">
        <f t="shared" si="6"/>
        <v>0</v>
      </c>
      <c r="G118" s="73">
        <f t="shared" si="6"/>
        <v>0</v>
      </c>
      <c r="H118" s="73">
        <f t="shared" si="6"/>
        <v>0</v>
      </c>
      <c r="I118" s="73">
        <f t="shared" si="6"/>
        <v>0</v>
      </c>
      <c r="J118" s="73">
        <f t="shared" si="6"/>
        <v>0</v>
      </c>
      <c r="K118" s="73">
        <f t="shared" si="6"/>
        <v>0</v>
      </c>
      <c r="L118" s="73">
        <f t="shared" si="6"/>
        <v>0</v>
      </c>
      <c r="M118" s="73">
        <f t="shared" si="6"/>
        <v>0</v>
      </c>
      <c r="N118" s="73">
        <f t="shared" si="6"/>
        <v>0</v>
      </c>
      <c r="O118" s="73">
        <f t="shared" si="6"/>
        <v>0</v>
      </c>
      <c r="P118" s="73">
        <f t="shared" si="6"/>
        <v>0</v>
      </c>
      <c r="Q118" s="73">
        <f t="shared" si="6"/>
        <v>0</v>
      </c>
      <c r="R118" s="73">
        <f t="shared" si="6"/>
        <v>0</v>
      </c>
      <c r="S118" s="73">
        <f t="shared" si="6"/>
        <v>0</v>
      </c>
      <c r="T118" s="73">
        <f t="shared" si="6"/>
        <v>0</v>
      </c>
      <c r="U118" s="73">
        <f t="shared" si="6"/>
        <v>0</v>
      </c>
      <c r="V118" s="73">
        <f t="shared" si="6"/>
        <v>0</v>
      </c>
      <c r="W118" s="73">
        <f t="shared" si="6"/>
        <v>0</v>
      </c>
      <c r="X118" s="73">
        <f t="shared" si="6"/>
        <v>0</v>
      </c>
      <c r="Y118" s="73">
        <f t="shared" si="6"/>
        <v>0</v>
      </c>
      <c r="Z118" s="73">
        <f t="shared" si="6"/>
        <v>0</v>
      </c>
      <c r="AA118" s="73">
        <f t="shared" si="6"/>
        <v>0</v>
      </c>
      <c r="AB118" s="73">
        <f t="shared" si="6"/>
        <v>0</v>
      </c>
      <c r="AC118" s="73">
        <f t="shared" si="2"/>
        <v>0</v>
      </c>
      <c r="AD118" s="73">
        <f t="shared" si="3"/>
        <v>0</v>
      </c>
      <c r="AE118" s="73">
        <f t="shared" si="4"/>
        <v>0</v>
      </c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</row>
    <row r="119" spans="1:44">
      <c r="A119" s="5"/>
      <c r="B119" s="5"/>
      <c r="C119" s="71">
        <v>13</v>
      </c>
      <c r="D119" s="72" t="s">
        <v>103</v>
      </c>
      <c r="E119" s="73">
        <f t="shared" si="6"/>
        <v>0</v>
      </c>
      <c r="F119" s="73">
        <f t="shared" si="6"/>
        <v>0</v>
      </c>
      <c r="G119" s="73">
        <f t="shared" si="6"/>
        <v>0</v>
      </c>
      <c r="H119" s="73">
        <f t="shared" si="6"/>
        <v>0</v>
      </c>
      <c r="I119" s="73">
        <f t="shared" si="6"/>
        <v>0</v>
      </c>
      <c r="J119" s="73">
        <f t="shared" si="6"/>
        <v>0</v>
      </c>
      <c r="K119" s="73">
        <f t="shared" si="6"/>
        <v>0</v>
      </c>
      <c r="L119" s="73">
        <f t="shared" si="6"/>
        <v>0</v>
      </c>
      <c r="M119" s="73">
        <f t="shared" si="6"/>
        <v>0</v>
      </c>
      <c r="N119" s="73">
        <f t="shared" si="6"/>
        <v>0</v>
      </c>
      <c r="O119" s="73">
        <f t="shared" si="6"/>
        <v>0</v>
      </c>
      <c r="P119" s="73">
        <f t="shared" si="6"/>
        <v>0</v>
      </c>
      <c r="Q119" s="73">
        <f t="shared" si="6"/>
        <v>0</v>
      </c>
      <c r="R119" s="73">
        <f t="shared" si="6"/>
        <v>0</v>
      </c>
      <c r="S119" s="73">
        <f t="shared" si="6"/>
        <v>0</v>
      </c>
      <c r="T119" s="73">
        <f t="shared" si="6"/>
        <v>0</v>
      </c>
      <c r="U119" s="73">
        <f t="shared" si="6"/>
        <v>0</v>
      </c>
      <c r="V119" s="73">
        <f t="shared" si="6"/>
        <v>0</v>
      </c>
      <c r="W119" s="73">
        <f t="shared" si="6"/>
        <v>0</v>
      </c>
      <c r="X119" s="73">
        <f t="shared" si="6"/>
        <v>0</v>
      </c>
      <c r="Y119" s="73">
        <f t="shared" si="6"/>
        <v>0</v>
      </c>
      <c r="Z119" s="73">
        <f t="shared" si="6"/>
        <v>0</v>
      </c>
      <c r="AA119" s="73">
        <f t="shared" si="6"/>
        <v>0</v>
      </c>
      <c r="AB119" s="73">
        <f t="shared" si="6"/>
        <v>0</v>
      </c>
      <c r="AC119" s="73">
        <f t="shared" si="2"/>
        <v>0</v>
      </c>
      <c r="AD119" s="73">
        <f t="shared" si="3"/>
        <v>0</v>
      </c>
      <c r="AE119" s="73">
        <f t="shared" si="4"/>
        <v>0</v>
      </c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</row>
    <row r="120" spans="1:44">
      <c r="A120" s="5"/>
      <c r="B120" s="5"/>
      <c r="C120" s="71">
        <v>14</v>
      </c>
      <c r="D120" s="72" t="s">
        <v>104</v>
      </c>
      <c r="E120" s="73">
        <f t="shared" si="6"/>
        <v>0</v>
      </c>
      <c r="F120" s="73">
        <f t="shared" si="6"/>
        <v>0</v>
      </c>
      <c r="G120" s="73">
        <f t="shared" si="6"/>
        <v>0</v>
      </c>
      <c r="H120" s="73">
        <f t="shared" si="6"/>
        <v>0</v>
      </c>
      <c r="I120" s="73">
        <f t="shared" si="6"/>
        <v>0</v>
      </c>
      <c r="J120" s="73">
        <f t="shared" si="6"/>
        <v>0</v>
      </c>
      <c r="K120" s="73">
        <f t="shared" si="6"/>
        <v>0</v>
      </c>
      <c r="L120" s="73">
        <f t="shared" si="6"/>
        <v>0</v>
      </c>
      <c r="M120" s="73">
        <f t="shared" si="6"/>
        <v>0</v>
      </c>
      <c r="N120" s="73">
        <f t="shared" si="6"/>
        <v>0</v>
      </c>
      <c r="O120" s="73">
        <f t="shared" si="6"/>
        <v>0</v>
      </c>
      <c r="P120" s="73">
        <f t="shared" si="6"/>
        <v>0</v>
      </c>
      <c r="Q120" s="73">
        <f t="shared" si="6"/>
        <v>0</v>
      </c>
      <c r="R120" s="73">
        <f t="shared" si="6"/>
        <v>0</v>
      </c>
      <c r="S120" s="73">
        <f t="shared" si="6"/>
        <v>0</v>
      </c>
      <c r="T120" s="73">
        <f t="shared" si="6"/>
        <v>0</v>
      </c>
      <c r="U120" s="73">
        <f t="shared" si="6"/>
        <v>0</v>
      </c>
      <c r="V120" s="73">
        <f t="shared" si="6"/>
        <v>0</v>
      </c>
      <c r="W120" s="73">
        <f t="shared" si="6"/>
        <v>0</v>
      </c>
      <c r="X120" s="73">
        <f t="shared" si="6"/>
        <v>0</v>
      </c>
      <c r="Y120" s="73">
        <f t="shared" si="6"/>
        <v>0</v>
      </c>
      <c r="Z120" s="73">
        <f t="shared" si="6"/>
        <v>0</v>
      </c>
      <c r="AA120" s="73">
        <f t="shared" si="6"/>
        <v>0</v>
      </c>
      <c r="AB120" s="73">
        <f t="shared" si="6"/>
        <v>0</v>
      </c>
      <c r="AC120" s="73">
        <f t="shared" si="2"/>
        <v>0</v>
      </c>
      <c r="AD120" s="73">
        <f t="shared" si="3"/>
        <v>0</v>
      </c>
      <c r="AE120" s="73">
        <f t="shared" si="4"/>
        <v>0</v>
      </c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</row>
    <row r="121" spans="1:44">
      <c r="A121" s="5"/>
      <c r="B121" s="5"/>
      <c r="C121" s="71">
        <v>15</v>
      </c>
      <c r="D121" s="72" t="s">
        <v>105</v>
      </c>
      <c r="E121" s="73">
        <f t="shared" si="6"/>
        <v>0</v>
      </c>
      <c r="F121" s="73">
        <f t="shared" si="6"/>
        <v>0</v>
      </c>
      <c r="G121" s="73">
        <f t="shared" si="6"/>
        <v>0</v>
      </c>
      <c r="H121" s="73">
        <f t="shared" si="6"/>
        <v>0</v>
      </c>
      <c r="I121" s="73">
        <f t="shared" si="6"/>
        <v>0</v>
      </c>
      <c r="J121" s="73">
        <f t="shared" si="6"/>
        <v>0</v>
      </c>
      <c r="K121" s="73">
        <f t="shared" si="6"/>
        <v>0</v>
      </c>
      <c r="L121" s="73">
        <f t="shared" si="6"/>
        <v>0</v>
      </c>
      <c r="M121" s="73">
        <f t="shared" si="6"/>
        <v>0</v>
      </c>
      <c r="N121" s="73">
        <f t="shared" si="6"/>
        <v>0</v>
      </c>
      <c r="O121" s="73">
        <f t="shared" si="6"/>
        <v>0</v>
      </c>
      <c r="P121" s="73">
        <f t="shared" si="6"/>
        <v>0</v>
      </c>
      <c r="Q121" s="73">
        <f t="shared" si="6"/>
        <v>0</v>
      </c>
      <c r="R121" s="73">
        <f t="shared" si="6"/>
        <v>0</v>
      </c>
      <c r="S121" s="73">
        <f t="shared" si="6"/>
        <v>0</v>
      </c>
      <c r="T121" s="73">
        <f t="shared" si="6"/>
        <v>0</v>
      </c>
      <c r="U121" s="73">
        <f t="shared" si="6"/>
        <v>0</v>
      </c>
      <c r="V121" s="73">
        <f t="shared" si="6"/>
        <v>0</v>
      </c>
      <c r="W121" s="73">
        <f t="shared" si="6"/>
        <v>0</v>
      </c>
      <c r="X121" s="73">
        <f t="shared" si="6"/>
        <v>0</v>
      </c>
      <c r="Y121" s="73">
        <f t="shared" si="6"/>
        <v>0</v>
      </c>
      <c r="Z121" s="73">
        <f t="shared" si="6"/>
        <v>0</v>
      </c>
      <c r="AA121" s="73">
        <f t="shared" si="6"/>
        <v>0</v>
      </c>
      <c r="AB121" s="73">
        <f t="shared" si="6"/>
        <v>0</v>
      </c>
      <c r="AC121" s="73">
        <f t="shared" si="2"/>
        <v>0</v>
      </c>
      <c r="AD121" s="73">
        <f t="shared" si="3"/>
        <v>0</v>
      </c>
      <c r="AE121" s="73">
        <f t="shared" si="4"/>
        <v>0</v>
      </c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</row>
    <row r="122" spans="1:44">
      <c r="A122" s="5"/>
      <c r="B122" s="5"/>
      <c r="C122" s="71">
        <v>16</v>
      </c>
      <c r="D122" s="72" t="s">
        <v>106</v>
      </c>
      <c r="E122" s="73">
        <f t="shared" si="6"/>
        <v>0</v>
      </c>
      <c r="F122" s="73">
        <f t="shared" si="6"/>
        <v>0</v>
      </c>
      <c r="G122" s="73">
        <f t="shared" si="6"/>
        <v>0</v>
      </c>
      <c r="H122" s="73">
        <f t="shared" si="6"/>
        <v>0</v>
      </c>
      <c r="I122" s="73">
        <f t="shared" si="6"/>
        <v>0</v>
      </c>
      <c r="J122" s="73">
        <f t="shared" si="6"/>
        <v>0</v>
      </c>
      <c r="K122" s="73">
        <f t="shared" si="6"/>
        <v>0</v>
      </c>
      <c r="L122" s="73">
        <f t="shared" si="6"/>
        <v>0</v>
      </c>
      <c r="M122" s="73">
        <f t="shared" si="6"/>
        <v>0</v>
      </c>
      <c r="N122" s="73">
        <f t="shared" si="6"/>
        <v>0</v>
      </c>
      <c r="O122" s="73">
        <f t="shared" si="6"/>
        <v>0</v>
      </c>
      <c r="P122" s="73">
        <f t="shared" si="6"/>
        <v>0</v>
      </c>
      <c r="Q122" s="73">
        <f t="shared" si="6"/>
        <v>0</v>
      </c>
      <c r="R122" s="73">
        <f t="shared" si="6"/>
        <v>0</v>
      </c>
      <c r="S122" s="73">
        <f t="shared" si="6"/>
        <v>0</v>
      </c>
      <c r="T122" s="73">
        <f t="shared" si="6"/>
        <v>0</v>
      </c>
      <c r="U122" s="73">
        <f t="shared" si="6"/>
        <v>0</v>
      </c>
      <c r="V122" s="73">
        <f t="shared" si="6"/>
        <v>0</v>
      </c>
      <c r="W122" s="73">
        <f t="shared" si="6"/>
        <v>0</v>
      </c>
      <c r="X122" s="73">
        <f t="shared" si="6"/>
        <v>0</v>
      </c>
      <c r="Y122" s="73">
        <f t="shared" si="6"/>
        <v>0</v>
      </c>
      <c r="Z122" s="73">
        <f t="shared" si="6"/>
        <v>0</v>
      </c>
      <c r="AA122" s="73">
        <f t="shared" si="6"/>
        <v>0</v>
      </c>
      <c r="AB122" s="73">
        <f t="shared" si="6"/>
        <v>0</v>
      </c>
      <c r="AC122" s="73">
        <f t="shared" si="2"/>
        <v>0</v>
      </c>
      <c r="AD122" s="73">
        <f t="shared" si="3"/>
        <v>0</v>
      </c>
      <c r="AE122" s="73">
        <f t="shared" si="4"/>
        <v>0</v>
      </c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</row>
    <row r="123" spans="1:44">
      <c r="A123" s="5"/>
      <c r="B123" s="5"/>
      <c r="C123" s="71">
        <v>17</v>
      </c>
      <c r="D123" s="72" t="s">
        <v>107</v>
      </c>
      <c r="E123" s="73">
        <f t="shared" si="6"/>
        <v>0</v>
      </c>
      <c r="F123" s="73">
        <f t="shared" si="6"/>
        <v>0</v>
      </c>
      <c r="G123" s="73">
        <f t="shared" si="6"/>
        <v>0</v>
      </c>
      <c r="H123" s="73">
        <f t="shared" si="6"/>
        <v>0</v>
      </c>
      <c r="I123" s="73">
        <f t="shared" si="6"/>
        <v>0</v>
      </c>
      <c r="J123" s="73">
        <f t="shared" si="6"/>
        <v>0</v>
      </c>
      <c r="K123" s="73">
        <f t="shared" si="6"/>
        <v>0</v>
      </c>
      <c r="L123" s="73">
        <f t="shared" si="6"/>
        <v>0</v>
      </c>
      <c r="M123" s="73">
        <f t="shared" si="6"/>
        <v>0</v>
      </c>
      <c r="N123" s="73">
        <f t="shared" si="6"/>
        <v>0</v>
      </c>
      <c r="O123" s="73">
        <f t="shared" si="6"/>
        <v>0</v>
      </c>
      <c r="P123" s="73">
        <f t="shared" si="6"/>
        <v>0</v>
      </c>
      <c r="Q123" s="73">
        <f t="shared" si="6"/>
        <v>0</v>
      </c>
      <c r="R123" s="73">
        <f t="shared" si="6"/>
        <v>0</v>
      </c>
      <c r="S123" s="73">
        <f t="shared" si="6"/>
        <v>0</v>
      </c>
      <c r="T123" s="73">
        <f t="shared" si="6"/>
        <v>0</v>
      </c>
      <c r="U123" s="73">
        <f t="shared" si="6"/>
        <v>0</v>
      </c>
      <c r="V123" s="73">
        <f t="shared" si="6"/>
        <v>0</v>
      </c>
      <c r="W123" s="73">
        <f t="shared" si="6"/>
        <v>0</v>
      </c>
      <c r="X123" s="73">
        <f t="shared" si="6"/>
        <v>0</v>
      </c>
      <c r="Y123" s="73">
        <f t="shared" si="6"/>
        <v>0</v>
      </c>
      <c r="Z123" s="73">
        <f t="shared" si="6"/>
        <v>0</v>
      </c>
      <c r="AA123" s="73">
        <f t="shared" si="6"/>
        <v>0</v>
      </c>
      <c r="AB123" s="73">
        <f t="shared" si="6"/>
        <v>0</v>
      </c>
      <c r="AC123" s="73">
        <f t="shared" si="2"/>
        <v>0</v>
      </c>
      <c r="AD123" s="73">
        <f t="shared" si="3"/>
        <v>0</v>
      </c>
      <c r="AE123" s="73">
        <f t="shared" si="4"/>
        <v>0</v>
      </c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</row>
    <row r="124" spans="1:44">
      <c r="A124" s="5"/>
      <c r="B124" s="5"/>
      <c r="C124" s="71">
        <v>18</v>
      </c>
      <c r="D124" s="72" t="s">
        <v>72</v>
      </c>
      <c r="E124" s="73">
        <f t="shared" si="6"/>
        <v>1</v>
      </c>
      <c r="F124" s="73">
        <f t="shared" si="6"/>
        <v>0</v>
      </c>
      <c r="G124" s="73">
        <f t="shared" si="6"/>
        <v>0</v>
      </c>
      <c r="H124" s="73">
        <f t="shared" si="6"/>
        <v>0</v>
      </c>
      <c r="I124" s="73">
        <f t="shared" si="6"/>
        <v>0</v>
      </c>
      <c r="J124" s="73">
        <f t="shared" si="6"/>
        <v>1</v>
      </c>
      <c r="K124" s="73">
        <f t="shared" si="6"/>
        <v>0</v>
      </c>
      <c r="L124" s="73">
        <f t="shared" si="6"/>
        <v>0</v>
      </c>
      <c r="M124" s="73">
        <f t="shared" si="6"/>
        <v>0</v>
      </c>
      <c r="N124" s="73">
        <f t="shared" si="6"/>
        <v>0</v>
      </c>
      <c r="O124" s="73">
        <f t="shared" si="6"/>
        <v>0</v>
      </c>
      <c r="P124" s="73">
        <f t="shared" si="6"/>
        <v>0</v>
      </c>
      <c r="Q124" s="73">
        <f t="shared" si="6"/>
        <v>0</v>
      </c>
      <c r="R124" s="73">
        <f t="shared" si="6"/>
        <v>0</v>
      </c>
      <c r="S124" s="73">
        <f t="shared" si="6"/>
        <v>0</v>
      </c>
      <c r="T124" s="73">
        <f t="shared" si="6"/>
        <v>0</v>
      </c>
      <c r="U124" s="73">
        <f t="shared" si="6"/>
        <v>0</v>
      </c>
      <c r="V124" s="73">
        <f t="shared" si="6"/>
        <v>0</v>
      </c>
      <c r="W124" s="73">
        <f t="shared" si="6"/>
        <v>0</v>
      </c>
      <c r="X124" s="73">
        <f t="shared" si="6"/>
        <v>0</v>
      </c>
      <c r="Y124" s="73">
        <f t="shared" si="6"/>
        <v>0</v>
      </c>
      <c r="Z124" s="73">
        <f t="shared" si="6"/>
        <v>0</v>
      </c>
      <c r="AA124" s="73">
        <f t="shared" si="6"/>
        <v>0</v>
      </c>
      <c r="AB124" s="73">
        <f t="shared" si="6"/>
        <v>0</v>
      </c>
      <c r="AC124" s="73">
        <f t="shared" si="2"/>
        <v>0</v>
      </c>
      <c r="AD124" s="73">
        <f t="shared" si="3"/>
        <v>0</v>
      </c>
      <c r="AE124" s="73">
        <f t="shared" si="4"/>
        <v>0</v>
      </c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</row>
    <row r="125" spans="1:44">
      <c r="A125" s="5"/>
      <c r="B125" s="5"/>
      <c r="C125" s="71">
        <v>19</v>
      </c>
      <c r="D125" s="74" t="s">
        <v>108</v>
      </c>
      <c r="E125" s="73">
        <f t="shared" si="6"/>
        <v>0</v>
      </c>
      <c r="F125" s="73">
        <f t="shared" si="6"/>
        <v>0</v>
      </c>
      <c r="G125" s="73">
        <f t="shared" si="6"/>
        <v>0</v>
      </c>
      <c r="H125" s="73">
        <f t="shared" si="6"/>
        <v>0</v>
      </c>
      <c r="I125" s="73">
        <f t="shared" si="6"/>
        <v>0</v>
      </c>
      <c r="J125" s="73">
        <f t="shared" si="6"/>
        <v>0</v>
      </c>
      <c r="K125" s="73">
        <f t="shared" si="6"/>
        <v>0</v>
      </c>
      <c r="L125" s="73">
        <f t="shared" si="6"/>
        <v>0</v>
      </c>
      <c r="M125" s="73">
        <f t="shared" si="6"/>
        <v>0</v>
      </c>
      <c r="N125" s="73">
        <f t="shared" si="6"/>
        <v>0</v>
      </c>
      <c r="O125" s="73">
        <f t="shared" si="6"/>
        <v>0</v>
      </c>
      <c r="P125" s="73">
        <f t="shared" si="6"/>
        <v>0</v>
      </c>
      <c r="Q125" s="73">
        <f t="shared" si="6"/>
        <v>0</v>
      </c>
      <c r="R125" s="73">
        <f t="shared" si="6"/>
        <v>0</v>
      </c>
      <c r="S125" s="73">
        <f t="shared" si="6"/>
        <v>0</v>
      </c>
      <c r="T125" s="73">
        <f t="shared" si="6"/>
        <v>0</v>
      </c>
      <c r="U125" s="73">
        <f t="shared" si="6"/>
        <v>0</v>
      </c>
      <c r="V125" s="73">
        <f t="shared" si="6"/>
        <v>0</v>
      </c>
      <c r="W125" s="73">
        <f t="shared" si="6"/>
        <v>0</v>
      </c>
      <c r="X125" s="73">
        <f t="shared" si="6"/>
        <v>0</v>
      </c>
      <c r="Y125" s="73">
        <f t="shared" si="6"/>
        <v>0</v>
      </c>
      <c r="Z125" s="73">
        <f t="shared" si="6"/>
        <v>0</v>
      </c>
      <c r="AA125" s="73">
        <f t="shared" si="6"/>
        <v>0</v>
      </c>
      <c r="AB125" s="73">
        <f t="shared" si="6"/>
        <v>0</v>
      </c>
      <c r="AC125" s="73">
        <f t="shared" si="2"/>
        <v>0</v>
      </c>
      <c r="AD125" s="73">
        <f t="shared" si="3"/>
        <v>0</v>
      </c>
      <c r="AE125" s="73">
        <f t="shared" si="4"/>
        <v>0</v>
      </c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</row>
    <row r="126" spans="1:44">
      <c r="A126" s="5"/>
      <c r="B126" s="5"/>
      <c r="C126" s="71">
        <v>20</v>
      </c>
      <c r="D126" s="75" t="s">
        <v>62</v>
      </c>
      <c r="E126" s="73">
        <f t="shared" si="6"/>
        <v>0</v>
      </c>
      <c r="F126" s="73">
        <f t="shared" si="6"/>
        <v>0</v>
      </c>
      <c r="G126" s="73">
        <f t="shared" si="6"/>
        <v>0</v>
      </c>
      <c r="H126" s="73">
        <f t="shared" si="6"/>
        <v>0</v>
      </c>
      <c r="I126" s="73">
        <f t="shared" si="6"/>
        <v>0</v>
      </c>
      <c r="J126" s="73">
        <f t="shared" si="6"/>
        <v>0</v>
      </c>
      <c r="K126" s="73">
        <f t="shared" si="6"/>
        <v>0</v>
      </c>
      <c r="L126" s="73">
        <f t="shared" si="6"/>
        <v>0</v>
      </c>
      <c r="M126" s="73">
        <f t="shared" si="6"/>
        <v>0</v>
      </c>
      <c r="N126" s="73">
        <f t="shared" si="6"/>
        <v>0</v>
      </c>
      <c r="O126" s="73">
        <f t="shared" si="6"/>
        <v>0</v>
      </c>
      <c r="P126" s="73">
        <f t="shared" si="6"/>
        <v>1</v>
      </c>
      <c r="Q126" s="73">
        <f t="shared" si="6"/>
        <v>0</v>
      </c>
      <c r="R126" s="73">
        <f t="shared" si="6"/>
        <v>0</v>
      </c>
      <c r="S126" s="73">
        <f t="shared" si="6"/>
        <v>0</v>
      </c>
      <c r="T126" s="73">
        <f t="shared" si="6"/>
        <v>0</v>
      </c>
      <c r="U126" s="73">
        <f t="shared" si="6"/>
        <v>0</v>
      </c>
      <c r="V126" s="73">
        <f t="shared" si="6"/>
        <v>0</v>
      </c>
      <c r="W126" s="73">
        <f t="shared" si="6"/>
        <v>0</v>
      </c>
      <c r="X126" s="73">
        <f t="shared" si="6"/>
        <v>0</v>
      </c>
      <c r="Y126" s="73">
        <f t="shared" si="6"/>
        <v>0</v>
      </c>
      <c r="Z126" s="73">
        <f t="shared" si="6"/>
        <v>0</v>
      </c>
      <c r="AA126" s="73">
        <f t="shared" si="6"/>
        <v>0</v>
      </c>
      <c r="AB126" s="73">
        <f t="shared" si="6"/>
        <v>0</v>
      </c>
      <c r="AC126" s="73">
        <f t="shared" si="2"/>
        <v>0</v>
      </c>
      <c r="AD126" s="73">
        <f t="shared" si="3"/>
        <v>0</v>
      </c>
      <c r="AE126" s="73">
        <f t="shared" si="4"/>
        <v>0</v>
      </c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</row>
    <row r="127" spans="1:44">
      <c r="A127" s="5"/>
      <c r="B127" s="5"/>
      <c r="C127" s="71">
        <v>21</v>
      </c>
      <c r="D127" s="72" t="s">
        <v>109</v>
      </c>
      <c r="E127" s="73">
        <f t="shared" si="6"/>
        <v>0</v>
      </c>
      <c r="F127" s="73">
        <f t="shared" si="6"/>
        <v>0</v>
      </c>
      <c r="G127" s="73">
        <f t="shared" si="6"/>
        <v>0</v>
      </c>
      <c r="H127" s="73">
        <f t="shared" si="6"/>
        <v>0</v>
      </c>
      <c r="I127" s="73">
        <f t="shared" si="6"/>
        <v>0</v>
      </c>
      <c r="J127" s="73">
        <f t="shared" si="6"/>
        <v>0</v>
      </c>
      <c r="K127" s="73">
        <f t="shared" si="6"/>
        <v>0</v>
      </c>
      <c r="L127" s="73">
        <f t="shared" si="6"/>
        <v>0</v>
      </c>
      <c r="M127" s="73">
        <f t="shared" si="6"/>
        <v>0</v>
      </c>
      <c r="N127" s="73">
        <f t="shared" si="6"/>
        <v>0</v>
      </c>
      <c r="O127" s="73">
        <f t="shared" si="6"/>
        <v>0</v>
      </c>
      <c r="P127" s="73">
        <f t="shared" si="6"/>
        <v>0</v>
      </c>
      <c r="Q127" s="73">
        <f t="shared" si="6"/>
        <v>0</v>
      </c>
      <c r="R127" s="73">
        <f t="shared" si="6"/>
        <v>0</v>
      </c>
      <c r="S127" s="73">
        <f t="shared" si="6"/>
        <v>0</v>
      </c>
      <c r="T127" s="73">
        <f t="shared" si="6"/>
        <v>0</v>
      </c>
      <c r="U127" s="73">
        <f t="shared" si="6"/>
        <v>0</v>
      </c>
      <c r="V127" s="73">
        <f t="shared" si="6"/>
        <v>0</v>
      </c>
      <c r="W127" s="73">
        <f t="shared" si="6"/>
        <v>0</v>
      </c>
      <c r="X127" s="73">
        <f t="shared" si="6"/>
        <v>0</v>
      </c>
      <c r="Y127" s="73">
        <f t="shared" si="6"/>
        <v>0</v>
      </c>
      <c r="Z127" s="73">
        <f t="shared" si="6"/>
        <v>0</v>
      </c>
      <c r="AA127" s="73">
        <f t="shared" si="6"/>
        <v>0</v>
      </c>
      <c r="AB127" s="73">
        <f t="shared" si="6"/>
        <v>0</v>
      </c>
      <c r="AC127" s="73">
        <f t="shared" si="2"/>
        <v>0</v>
      </c>
      <c r="AD127" s="73">
        <f t="shared" si="3"/>
        <v>0</v>
      </c>
      <c r="AE127" s="73">
        <f t="shared" si="4"/>
        <v>0</v>
      </c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</row>
    <row r="128" spans="1:44">
      <c r="A128" s="5"/>
      <c r="B128" s="5"/>
      <c r="C128" s="71">
        <v>22</v>
      </c>
      <c r="D128" s="72" t="s">
        <v>110</v>
      </c>
      <c r="E128" s="73">
        <f t="shared" si="6"/>
        <v>0</v>
      </c>
      <c r="F128" s="73">
        <f t="shared" si="6"/>
        <v>0</v>
      </c>
      <c r="G128" s="73">
        <f t="shared" si="6"/>
        <v>0</v>
      </c>
      <c r="H128" s="73">
        <f t="shared" si="6"/>
        <v>0</v>
      </c>
      <c r="I128" s="73">
        <f t="shared" si="6"/>
        <v>0</v>
      </c>
      <c r="J128" s="73">
        <f t="shared" si="6"/>
        <v>0</v>
      </c>
      <c r="K128" s="73">
        <f t="shared" si="6"/>
        <v>0</v>
      </c>
      <c r="L128" s="73">
        <f t="shared" si="6"/>
        <v>0</v>
      </c>
      <c r="M128" s="73">
        <f t="shared" si="6"/>
        <v>0</v>
      </c>
      <c r="N128" s="73">
        <f t="shared" si="6"/>
        <v>0</v>
      </c>
      <c r="O128" s="73">
        <f t="shared" si="6"/>
        <v>0</v>
      </c>
      <c r="P128" s="73">
        <f t="shared" si="6"/>
        <v>0</v>
      </c>
      <c r="Q128" s="73">
        <f t="shared" si="6"/>
        <v>0</v>
      </c>
      <c r="R128" s="73">
        <f t="shared" si="6"/>
        <v>0</v>
      </c>
      <c r="S128" s="73">
        <f t="shared" si="6"/>
        <v>0</v>
      </c>
      <c r="T128" s="73">
        <f t="shared" ref="T128:AQ128" si="7">SUMIFS(T$7:T$96,$B$7:$B$96,$D128)</f>
        <v>0</v>
      </c>
      <c r="U128" s="73">
        <f t="shared" si="7"/>
        <v>0</v>
      </c>
      <c r="V128" s="73">
        <f t="shared" si="7"/>
        <v>0</v>
      </c>
      <c r="W128" s="73">
        <f t="shared" si="7"/>
        <v>0</v>
      </c>
      <c r="X128" s="73">
        <f t="shared" si="7"/>
        <v>0</v>
      </c>
      <c r="Y128" s="73">
        <f t="shared" si="7"/>
        <v>0</v>
      </c>
      <c r="Z128" s="73">
        <f t="shared" si="7"/>
        <v>0</v>
      </c>
      <c r="AA128" s="73">
        <f t="shared" si="7"/>
        <v>0</v>
      </c>
      <c r="AB128" s="73">
        <f t="shared" si="7"/>
        <v>0</v>
      </c>
      <c r="AC128" s="73">
        <f t="shared" si="2"/>
        <v>0</v>
      </c>
      <c r="AD128" s="73">
        <f t="shared" si="3"/>
        <v>0</v>
      </c>
      <c r="AE128" s="73">
        <f t="shared" si="4"/>
        <v>0</v>
      </c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</row>
    <row r="129" spans="1:44">
      <c r="A129" s="5"/>
      <c r="B129" s="5"/>
      <c r="C129" s="71">
        <v>23</v>
      </c>
      <c r="D129" s="72" t="s">
        <v>111</v>
      </c>
      <c r="E129" s="73">
        <f t="shared" ref="E129:AB139" si="8">SUMIFS(E$7:E$96,$B$7:$B$96,$D129)</f>
        <v>0</v>
      </c>
      <c r="F129" s="73">
        <f t="shared" si="8"/>
        <v>0</v>
      </c>
      <c r="G129" s="73">
        <f t="shared" si="8"/>
        <v>0</v>
      </c>
      <c r="H129" s="73">
        <f t="shared" si="8"/>
        <v>0</v>
      </c>
      <c r="I129" s="73">
        <f t="shared" si="8"/>
        <v>0</v>
      </c>
      <c r="J129" s="73">
        <f t="shared" si="8"/>
        <v>0</v>
      </c>
      <c r="K129" s="73">
        <f t="shared" si="8"/>
        <v>0</v>
      </c>
      <c r="L129" s="73">
        <f t="shared" si="8"/>
        <v>0</v>
      </c>
      <c r="M129" s="73">
        <f t="shared" si="8"/>
        <v>0</v>
      </c>
      <c r="N129" s="73">
        <f t="shared" si="8"/>
        <v>0</v>
      </c>
      <c r="O129" s="73">
        <f t="shared" si="8"/>
        <v>0</v>
      </c>
      <c r="P129" s="73">
        <f t="shared" si="8"/>
        <v>0</v>
      </c>
      <c r="Q129" s="73">
        <f t="shared" si="8"/>
        <v>0</v>
      </c>
      <c r="R129" s="73">
        <f t="shared" si="8"/>
        <v>0</v>
      </c>
      <c r="S129" s="73">
        <f t="shared" si="8"/>
        <v>0</v>
      </c>
      <c r="T129" s="73">
        <f t="shared" si="8"/>
        <v>0</v>
      </c>
      <c r="U129" s="73">
        <f t="shared" si="8"/>
        <v>0</v>
      </c>
      <c r="V129" s="73">
        <f t="shared" si="8"/>
        <v>0</v>
      </c>
      <c r="W129" s="73">
        <f t="shared" si="8"/>
        <v>0</v>
      </c>
      <c r="X129" s="73">
        <f t="shared" si="8"/>
        <v>0</v>
      </c>
      <c r="Y129" s="73">
        <f t="shared" si="8"/>
        <v>0</v>
      </c>
      <c r="Z129" s="73">
        <f t="shared" si="8"/>
        <v>0</v>
      </c>
      <c r="AA129" s="73">
        <f t="shared" si="8"/>
        <v>0</v>
      </c>
      <c r="AB129" s="73">
        <f t="shared" si="8"/>
        <v>0</v>
      </c>
      <c r="AC129" s="73">
        <f t="shared" si="2"/>
        <v>0</v>
      </c>
      <c r="AD129" s="73">
        <f t="shared" si="3"/>
        <v>0</v>
      </c>
      <c r="AE129" s="73">
        <f t="shared" si="4"/>
        <v>0</v>
      </c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</row>
    <row r="130" spans="1:44">
      <c r="A130" s="5"/>
      <c r="B130" s="5"/>
      <c r="C130" s="71">
        <v>24</v>
      </c>
      <c r="D130" s="76" t="s">
        <v>112</v>
      </c>
      <c r="E130" s="73">
        <f t="shared" si="8"/>
        <v>0</v>
      </c>
      <c r="F130" s="73">
        <f t="shared" si="8"/>
        <v>0</v>
      </c>
      <c r="G130" s="73">
        <f t="shared" si="8"/>
        <v>0</v>
      </c>
      <c r="H130" s="73">
        <f t="shared" si="8"/>
        <v>0</v>
      </c>
      <c r="I130" s="73">
        <f t="shared" si="8"/>
        <v>0</v>
      </c>
      <c r="J130" s="73">
        <f t="shared" si="8"/>
        <v>0</v>
      </c>
      <c r="K130" s="73">
        <f t="shared" si="8"/>
        <v>0</v>
      </c>
      <c r="L130" s="73">
        <f t="shared" si="8"/>
        <v>0</v>
      </c>
      <c r="M130" s="73">
        <f t="shared" si="8"/>
        <v>0</v>
      </c>
      <c r="N130" s="73">
        <f t="shared" si="8"/>
        <v>0</v>
      </c>
      <c r="O130" s="73">
        <f t="shared" si="8"/>
        <v>0</v>
      </c>
      <c r="P130" s="73">
        <f t="shared" si="8"/>
        <v>0</v>
      </c>
      <c r="Q130" s="73">
        <f t="shared" si="8"/>
        <v>0</v>
      </c>
      <c r="R130" s="73">
        <f t="shared" si="8"/>
        <v>0</v>
      </c>
      <c r="S130" s="73">
        <f t="shared" si="8"/>
        <v>0</v>
      </c>
      <c r="T130" s="73">
        <f t="shared" si="8"/>
        <v>0</v>
      </c>
      <c r="U130" s="73">
        <f t="shared" si="8"/>
        <v>0</v>
      </c>
      <c r="V130" s="73">
        <f t="shared" si="8"/>
        <v>0</v>
      </c>
      <c r="W130" s="73">
        <f t="shared" si="8"/>
        <v>0</v>
      </c>
      <c r="X130" s="73">
        <f t="shared" si="8"/>
        <v>0</v>
      </c>
      <c r="Y130" s="73">
        <f t="shared" si="8"/>
        <v>0</v>
      </c>
      <c r="Z130" s="73">
        <f t="shared" si="8"/>
        <v>0</v>
      </c>
      <c r="AA130" s="73">
        <f t="shared" si="8"/>
        <v>0</v>
      </c>
      <c r="AB130" s="73">
        <f t="shared" si="8"/>
        <v>0</v>
      </c>
      <c r="AC130" s="73">
        <f t="shared" si="2"/>
        <v>0</v>
      </c>
      <c r="AD130" s="73">
        <f t="shared" si="3"/>
        <v>0</v>
      </c>
      <c r="AE130" s="73">
        <f t="shared" si="4"/>
        <v>0</v>
      </c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</row>
    <row r="131" spans="1:44">
      <c r="A131" s="5"/>
      <c r="B131" s="5"/>
      <c r="C131" s="71">
        <v>25</v>
      </c>
      <c r="D131" s="72" t="s">
        <v>113</v>
      </c>
      <c r="E131" s="73">
        <f t="shared" si="8"/>
        <v>0</v>
      </c>
      <c r="F131" s="73">
        <f t="shared" si="8"/>
        <v>0</v>
      </c>
      <c r="G131" s="73">
        <f t="shared" si="8"/>
        <v>0</v>
      </c>
      <c r="H131" s="73">
        <f t="shared" si="8"/>
        <v>0</v>
      </c>
      <c r="I131" s="73">
        <f t="shared" si="8"/>
        <v>0</v>
      </c>
      <c r="J131" s="73">
        <f t="shared" si="8"/>
        <v>0</v>
      </c>
      <c r="K131" s="73">
        <f t="shared" si="8"/>
        <v>0</v>
      </c>
      <c r="L131" s="73">
        <f t="shared" si="8"/>
        <v>0</v>
      </c>
      <c r="M131" s="73">
        <f t="shared" si="8"/>
        <v>0</v>
      </c>
      <c r="N131" s="73">
        <f t="shared" si="8"/>
        <v>0</v>
      </c>
      <c r="O131" s="73">
        <f t="shared" si="8"/>
        <v>0</v>
      </c>
      <c r="P131" s="73">
        <f t="shared" si="8"/>
        <v>0</v>
      </c>
      <c r="Q131" s="73">
        <f t="shared" si="8"/>
        <v>0</v>
      </c>
      <c r="R131" s="73">
        <f t="shared" si="8"/>
        <v>0</v>
      </c>
      <c r="S131" s="73">
        <f t="shared" si="8"/>
        <v>0</v>
      </c>
      <c r="T131" s="73">
        <f t="shared" si="8"/>
        <v>0</v>
      </c>
      <c r="U131" s="73">
        <f t="shared" si="8"/>
        <v>0</v>
      </c>
      <c r="V131" s="73">
        <f t="shared" si="8"/>
        <v>0</v>
      </c>
      <c r="W131" s="73">
        <f t="shared" si="8"/>
        <v>0</v>
      </c>
      <c r="X131" s="73">
        <f t="shared" si="8"/>
        <v>0</v>
      </c>
      <c r="Y131" s="73">
        <f t="shared" si="8"/>
        <v>0</v>
      </c>
      <c r="Z131" s="73">
        <f t="shared" si="8"/>
        <v>0</v>
      </c>
      <c r="AA131" s="73">
        <f t="shared" si="8"/>
        <v>0</v>
      </c>
      <c r="AB131" s="73">
        <f t="shared" si="8"/>
        <v>0</v>
      </c>
      <c r="AC131" s="73">
        <f t="shared" si="2"/>
        <v>0</v>
      </c>
      <c r="AD131" s="73">
        <f t="shared" si="3"/>
        <v>0</v>
      </c>
      <c r="AE131" s="73">
        <f t="shared" si="4"/>
        <v>0</v>
      </c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</row>
    <row r="132" spans="1:44">
      <c r="A132" s="5"/>
      <c r="B132" s="5"/>
      <c r="C132" s="71">
        <v>26</v>
      </c>
      <c r="D132" s="72" t="s">
        <v>114</v>
      </c>
      <c r="E132" s="73">
        <f t="shared" si="8"/>
        <v>0</v>
      </c>
      <c r="F132" s="73">
        <f t="shared" si="8"/>
        <v>0</v>
      </c>
      <c r="G132" s="73">
        <f t="shared" si="8"/>
        <v>0</v>
      </c>
      <c r="H132" s="73">
        <f t="shared" si="8"/>
        <v>0</v>
      </c>
      <c r="I132" s="73">
        <f t="shared" si="8"/>
        <v>0</v>
      </c>
      <c r="J132" s="73">
        <f t="shared" si="8"/>
        <v>0</v>
      </c>
      <c r="K132" s="73">
        <f t="shared" si="8"/>
        <v>0</v>
      </c>
      <c r="L132" s="73">
        <f t="shared" si="8"/>
        <v>0</v>
      </c>
      <c r="M132" s="73">
        <f t="shared" si="8"/>
        <v>0</v>
      </c>
      <c r="N132" s="73">
        <f t="shared" si="8"/>
        <v>0</v>
      </c>
      <c r="O132" s="73">
        <f t="shared" si="8"/>
        <v>0</v>
      </c>
      <c r="P132" s="73">
        <f t="shared" si="8"/>
        <v>0</v>
      </c>
      <c r="Q132" s="73">
        <f t="shared" si="8"/>
        <v>0</v>
      </c>
      <c r="R132" s="73">
        <f t="shared" si="8"/>
        <v>0</v>
      </c>
      <c r="S132" s="73">
        <f t="shared" si="8"/>
        <v>0</v>
      </c>
      <c r="T132" s="73">
        <f t="shared" si="8"/>
        <v>0</v>
      </c>
      <c r="U132" s="73">
        <f t="shared" si="8"/>
        <v>0</v>
      </c>
      <c r="V132" s="73">
        <f t="shared" si="8"/>
        <v>0</v>
      </c>
      <c r="W132" s="73">
        <f t="shared" si="8"/>
        <v>0</v>
      </c>
      <c r="X132" s="73">
        <f t="shared" si="8"/>
        <v>0</v>
      </c>
      <c r="Y132" s="73">
        <f t="shared" si="8"/>
        <v>0</v>
      </c>
      <c r="Z132" s="73">
        <f t="shared" si="8"/>
        <v>0</v>
      </c>
      <c r="AA132" s="73">
        <f t="shared" si="8"/>
        <v>0</v>
      </c>
      <c r="AB132" s="73">
        <f t="shared" si="8"/>
        <v>0</v>
      </c>
      <c r="AC132" s="73">
        <f t="shared" si="2"/>
        <v>0</v>
      </c>
      <c r="AD132" s="73">
        <f t="shared" si="3"/>
        <v>0</v>
      </c>
      <c r="AE132" s="73">
        <f t="shared" si="4"/>
        <v>0</v>
      </c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</row>
    <row r="133" spans="1:44">
      <c r="A133" s="5"/>
      <c r="B133" s="5"/>
      <c r="C133" s="71">
        <v>27</v>
      </c>
      <c r="D133" s="72" t="s">
        <v>78</v>
      </c>
      <c r="E133" s="73">
        <f t="shared" si="8"/>
        <v>1</v>
      </c>
      <c r="F133" s="73">
        <f t="shared" si="8"/>
        <v>0</v>
      </c>
      <c r="G133" s="73">
        <f t="shared" si="8"/>
        <v>0</v>
      </c>
      <c r="H133" s="73">
        <f t="shared" si="8"/>
        <v>0</v>
      </c>
      <c r="I133" s="73">
        <f t="shared" si="8"/>
        <v>0</v>
      </c>
      <c r="J133" s="73">
        <f t="shared" si="8"/>
        <v>0</v>
      </c>
      <c r="K133" s="73">
        <f t="shared" si="8"/>
        <v>0</v>
      </c>
      <c r="L133" s="73">
        <f t="shared" si="8"/>
        <v>0</v>
      </c>
      <c r="M133" s="73">
        <f t="shared" si="8"/>
        <v>0</v>
      </c>
      <c r="N133" s="73">
        <f t="shared" si="8"/>
        <v>0</v>
      </c>
      <c r="O133" s="73">
        <f t="shared" si="8"/>
        <v>0</v>
      </c>
      <c r="P133" s="73">
        <f t="shared" si="8"/>
        <v>0</v>
      </c>
      <c r="Q133" s="73">
        <f t="shared" si="8"/>
        <v>0</v>
      </c>
      <c r="R133" s="73">
        <f t="shared" si="8"/>
        <v>0</v>
      </c>
      <c r="S133" s="73">
        <f t="shared" si="8"/>
        <v>0</v>
      </c>
      <c r="T133" s="73">
        <f t="shared" si="8"/>
        <v>0</v>
      </c>
      <c r="U133" s="73">
        <f t="shared" si="8"/>
        <v>0</v>
      </c>
      <c r="V133" s="73">
        <f t="shared" si="8"/>
        <v>0</v>
      </c>
      <c r="W133" s="73">
        <f t="shared" si="8"/>
        <v>0</v>
      </c>
      <c r="X133" s="73">
        <f t="shared" si="8"/>
        <v>0</v>
      </c>
      <c r="Y133" s="73">
        <f t="shared" si="8"/>
        <v>0</v>
      </c>
      <c r="Z133" s="73">
        <f t="shared" si="8"/>
        <v>0</v>
      </c>
      <c r="AA133" s="73">
        <f t="shared" si="8"/>
        <v>0</v>
      </c>
      <c r="AB133" s="73">
        <f t="shared" si="8"/>
        <v>0</v>
      </c>
      <c r="AC133" s="73">
        <f t="shared" si="2"/>
        <v>0</v>
      </c>
      <c r="AD133" s="73">
        <f t="shared" si="3"/>
        <v>0</v>
      </c>
      <c r="AE133" s="73">
        <f t="shared" si="4"/>
        <v>0</v>
      </c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</row>
    <row r="134" spans="1:44">
      <c r="A134" s="5"/>
      <c r="B134" s="5"/>
      <c r="C134" s="71">
        <v>28</v>
      </c>
      <c r="D134" s="72" t="s">
        <v>115</v>
      </c>
      <c r="E134" s="73">
        <f t="shared" si="8"/>
        <v>0</v>
      </c>
      <c r="F134" s="73">
        <f t="shared" si="8"/>
        <v>0</v>
      </c>
      <c r="G134" s="73">
        <f t="shared" si="8"/>
        <v>0</v>
      </c>
      <c r="H134" s="73">
        <f t="shared" si="8"/>
        <v>0</v>
      </c>
      <c r="I134" s="73">
        <f t="shared" si="8"/>
        <v>0</v>
      </c>
      <c r="J134" s="73">
        <f t="shared" si="8"/>
        <v>0</v>
      </c>
      <c r="K134" s="73">
        <f t="shared" si="8"/>
        <v>0</v>
      </c>
      <c r="L134" s="73">
        <f t="shared" si="8"/>
        <v>0</v>
      </c>
      <c r="M134" s="73">
        <f t="shared" si="8"/>
        <v>0</v>
      </c>
      <c r="N134" s="73">
        <f t="shared" si="8"/>
        <v>0</v>
      </c>
      <c r="O134" s="73">
        <f t="shared" si="8"/>
        <v>0</v>
      </c>
      <c r="P134" s="73">
        <f t="shared" si="8"/>
        <v>0</v>
      </c>
      <c r="Q134" s="73">
        <f t="shared" si="8"/>
        <v>0</v>
      </c>
      <c r="R134" s="73">
        <f t="shared" si="8"/>
        <v>0</v>
      </c>
      <c r="S134" s="73">
        <f t="shared" si="8"/>
        <v>0</v>
      </c>
      <c r="T134" s="73">
        <f t="shared" si="8"/>
        <v>0</v>
      </c>
      <c r="U134" s="73">
        <f t="shared" si="8"/>
        <v>0</v>
      </c>
      <c r="V134" s="73">
        <f t="shared" si="8"/>
        <v>0</v>
      </c>
      <c r="W134" s="73">
        <f t="shared" si="8"/>
        <v>0</v>
      </c>
      <c r="X134" s="73">
        <f t="shared" si="8"/>
        <v>0</v>
      </c>
      <c r="Y134" s="73">
        <f t="shared" si="8"/>
        <v>0</v>
      </c>
      <c r="Z134" s="73">
        <f t="shared" si="8"/>
        <v>0</v>
      </c>
      <c r="AA134" s="73">
        <f t="shared" si="8"/>
        <v>0</v>
      </c>
      <c r="AB134" s="73">
        <f t="shared" si="8"/>
        <v>0</v>
      </c>
      <c r="AC134" s="73">
        <f t="shared" si="2"/>
        <v>0</v>
      </c>
      <c r="AD134" s="73">
        <f t="shared" si="3"/>
        <v>0</v>
      </c>
      <c r="AE134" s="73">
        <f t="shared" si="4"/>
        <v>0</v>
      </c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</row>
    <row r="135" spans="1:44">
      <c r="A135" s="5"/>
      <c r="B135" s="5"/>
      <c r="C135" s="71">
        <v>29</v>
      </c>
      <c r="D135" s="72" t="s">
        <v>116</v>
      </c>
      <c r="E135" s="73">
        <f t="shared" si="8"/>
        <v>0</v>
      </c>
      <c r="F135" s="73">
        <f t="shared" si="8"/>
        <v>0</v>
      </c>
      <c r="G135" s="73">
        <f t="shared" si="8"/>
        <v>0</v>
      </c>
      <c r="H135" s="73">
        <f t="shared" si="8"/>
        <v>0</v>
      </c>
      <c r="I135" s="73">
        <f t="shared" si="8"/>
        <v>0</v>
      </c>
      <c r="J135" s="73">
        <f t="shared" si="8"/>
        <v>0</v>
      </c>
      <c r="K135" s="73">
        <f t="shared" si="8"/>
        <v>0</v>
      </c>
      <c r="L135" s="73">
        <f t="shared" si="8"/>
        <v>0</v>
      </c>
      <c r="M135" s="73">
        <f t="shared" si="8"/>
        <v>0</v>
      </c>
      <c r="N135" s="73">
        <f t="shared" si="8"/>
        <v>0</v>
      </c>
      <c r="O135" s="73">
        <f t="shared" si="8"/>
        <v>0</v>
      </c>
      <c r="P135" s="73">
        <f t="shared" si="8"/>
        <v>0</v>
      </c>
      <c r="Q135" s="73">
        <f t="shared" si="8"/>
        <v>0</v>
      </c>
      <c r="R135" s="73">
        <f t="shared" si="8"/>
        <v>0</v>
      </c>
      <c r="S135" s="73">
        <f t="shared" si="8"/>
        <v>0</v>
      </c>
      <c r="T135" s="73">
        <f t="shared" si="8"/>
        <v>0</v>
      </c>
      <c r="U135" s="73">
        <f t="shared" si="8"/>
        <v>0</v>
      </c>
      <c r="V135" s="73">
        <f t="shared" si="8"/>
        <v>0</v>
      </c>
      <c r="W135" s="73">
        <f t="shared" si="8"/>
        <v>0</v>
      </c>
      <c r="X135" s="73">
        <f t="shared" si="8"/>
        <v>0</v>
      </c>
      <c r="Y135" s="73">
        <f t="shared" si="8"/>
        <v>0</v>
      </c>
      <c r="Z135" s="73">
        <f t="shared" si="8"/>
        <v>0</v>
      </c>
      <c r="AA135" s="73">
        <f t="shared" si="8"/>
        <v>0</v>
      </c>
      <c r="AB135" s="73">
        <f t="shared" si="8"/>
        <v>0</v>
      </c>
      <c r="AC135" s="73">
        <f t="shared" si="2"/>
        <v>0</v>
      </c>
      <c r="AD135" s="73">
        <f t="shared" si="3"/>
        <v>0</v>
      </c>
      <c r="AE135" s="73">
        <f t="shared" si="4"/>
        <v>0</v>
      </c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</row>
    <row r="136" spans="1:44">
      <c r="A136" s="5"/>
      <c r="B136" s="5"/>
      <c r="C136" s="71">
        <v>30</v>
      </c>
      <c r="D136" s="72" t="s">
        <v>117</v>
      </c>
      <c r="E136" s="73">
        <f t="shared" si="8"/>
        <v>0</v>
      </c>
      <c r="F136" s="73">
        <f t="shared" si="8"/>
        <v>0</v>
      </c>
      <c r="G136" s="73">
        <f t="shared" si="8"/>
        <v>0</v>
      </c>
      <c r="H136" s="73">
        <f t="shared" si="8"/>
        <v>0</v>
      </c>
      <c r="I136" s="73">
        <f t="shared" si="8"/>
        <v>0</v>
      </c>
      <c r="J136" s="73">
        <f t="shared" si="8"/>
        <v>0</v>
      </c>
      <c r="K136" s="73">
        <f t="shared" si="8"/>
        <v>0</v>
      </c>
      <c r="L136" s="73">
        <f t="shared" si="8"/>
        <v>0</v>
      </c>
      <c r="M136" s="73">
        <f t="shared" si="8"/>
        <v>0</v>
      </c>
      <c r="N136" s="73">
        <f t="shared" si="8"/>
        <v>0</v>
      </c>
      <c r="O136" s="73">
        <f t="shared" si="8"/>
        <v>0</v>
      </c>
      <c r="P136" s="73">
        <f t="shared" si="8"/>
        <v>0</v>
      </c>
      <c r="Q136" s="73">
        <f t="shared" si="8"/>
        <v>0</v>
      </c>
      <c r="R136" s="73">
        <f t="shared" si="8"/>
        <v>0</v>
      </c>
      <c r="S136" s="73">
        <f t="shared" si="8"/>
        <v>0</v>
      </c>
      <c r="T136" s="73">
        <f t="shared" si="8"/>
        <v>0</v>
      </c>
      <c r="U136" s="73">
        <f t="shared" si="8"/>
        <v>0</v>
      </c>
      <c r="V136" s="73">
        <f t="shared" si="8"/>
        <v>0</v>
      </c>
      <c r="W136" s="73">
        <f t="shared" si="8"/>
        <v>0</v>
      </c>
      <c r="X136" s="73">
        <f t="shared" si="8"/>
        <v>0</v>
      </c>
      <c r="Y136" s="73">
        <f t="shared" si="8"/>
        <v>0</v>
      </c>
      <c r="Z136" s="73">
        <f t="shared" si="8"/>
        <v>0</v>
      </c>
      <c r="AA136" s="73">
        <f t="shared" si="8"/>
        <v>0</v>
      </c>
      <c r="AB136" s="73">
        <f t="shared" si="8"/>
        <v>0</v>
      </c>
      <c r="AC136" s="73">
        <f t="shared" si="2"/>
        <v>0</v>
      </c>
      <c r="AD136" s="73">
        <f t="shared" si="3"/>
        <v>0</v>
      </c>
      <c r="AE136" s="73">
        <f t="shared" si="4"/>
        <v>0</v>
      </c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</row>
    <row r="137" spans="1:44">
      <c r="A137" s="5"/>
      <c r="B137" s="5"/>
      <c r="C137" s="71">
        <v>31</v>
      </c>
      <c r="D137" s="72" t="s">
        <v>66</v>
      </c>
      <c r="E137" s="73">
        <f t="shared" si="8"/>
        <v>0</v>
      </c>
      <c r="F137" s="73">
        <f t="shared" si="8"/>
        <v>0</v>
      </c>
      <c r="G137" s="73">
        <f t="shared" si="8"/>
        <v>0</v>
      </c>
      <c r="H137" s="73">
        <f t="shared" si="8"/>
        <v>1</v>
      </c>
      <c r="I137" s="73">
        <f t="shared" si="8"/>
        <v>0</v>
      </c>
      <c r="J137" s="73">
        <f t="shared" si="8"/>
        <v>0</v>
      </c>
      <c r="K137" s="73">
        <f t="shared" si="8"/>
        <v>0</v>
      </c>
      <c r="L137" s="73">
        <f t="shared" si="8"/>
        <v>0</v>
      </c>
      <c r="M137" s="73">
        <f t="shared" si="8"/>
        <v>0</v>
      </c>
      <c r="N137" s="73">
        <f t="shared" si="8"/>
        <v>0</v>
      </c>
      <c r="O137" s="73">
        <f t="shared" si="8"/>
        <v>0</v>
      </c>
      <c r="P137" s="73">
        <f t="shared" si="8"/>
        <v>1</v>
      </c>
      <c r="Q137" s="73">
        <f t="shared" si="8"/>
        <v>0</v>
      </c>
      <c r="R137" s="73">
        <f t="shared" si="8"/>
        <v>0</v>
      </c>
      <c r="S137" s="73">
        <f t="shared" si="8"/>
        <v>0</v>
      </c>
      <c r="T137" s="73">
        <f t="shared" si="8"/>
        <v>0</v>
      </c>
      <c r="U137" s="73">
        <f t="shared" si="8"/>
        <v>0</v>
      </c>
      <c r="V137" s="73">
        <f t="shared" si="8"/>
        <v>0</v>
      </c>
      <c r="W137" s="73">
        <f t="shared" si="8"/>
        <v>0</v>
      </c>
      <c r="X137" s="73">
        <f t="shared" si="8"/>
        <v>0</v>
      </c>
      <c r="Y137" s="73">
        <f t="shared" si="8"/>
        <v>0</v>
      </c>
      <c r="Z137" s="73">
        <f t="shared" si="8"/>
        <v>0</v>
      </c>
      <c r="AA137" s="73">
        <f t="shared" si="8"/>
        <v>0</v>
      </c>
      <c r="AB137" s="73">
        <f t="shared" si="8"/>
        <v>0</v>
      </c>
      <c r="AC137" s="73">
        <f t="shared" si="2"/>
        <v>0</v>
      </c>
      <c r="AD137" s="73">
        <f t="shared" si="3"/>
        <v>0</v>
      </c>
      <c r="AE137" s="73">
        <f t="shared" si="4"/>
        <v>0</v>
      </c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</row>
    <row r="138" spans="1:44">
      <c r="A138" s="5"/>
      <c r="B138" s="5"/>
      <c r="C138" s="71">
        <v>32</v>
      </c>
      <c r="D138" s="72" t="s">
        <v>118</v>
      </c>
      <c r="E138" s="73">
        <f t="shared" si="8"/>
        <v>0</v>
      </c>
      <c r="F138" s="73">
        <f t="shared" si="8"/>
        <v>0</v>
      </c>
      <c r="G138" s="73">
        <f t="shared" si="8"/>
        <v>0</v>
      </c>
      <c r="H138" s="73">
        <f t="shared" si="8"/>
        <v>0</v>
      </c>
      <c r="I138" s="73">
        <f t="shared" si="8"/>
        <v>0</v>
      </c>
      <c r="J138" s="73">
        <f t="shared" si="8"/>
        <v>0</v>
      </c>
      <c r="K138" s="73">
        <f t="shared" si="8"/>
        <v>0</v>
      </c>
      <c r="L138" s="73">
        <f t="shared" si="8"/>
        <v>0</v>
      </c>
      <c r="M138" s="73">
        <f t="shared" si="8"/>
        <v>0</v>
      </c>
      <c r="N138" s="73">
        <f t="shared" si="8"/>
        <v>0</v>
      </c>
      <c r="O138" s="73">
        <f t="shared" si="8"/>
        <v>0</v>
      </c>
      <c r="P138" s="73">
        <f t="shared" si="8"/>
        <v>0</v>
      </c>
      <c r="Q138" s="73">
        <f t="shared" si="8"/>
        <v>0</v>
      </c>
      <c r="R138" s="73">
        <f t="shared" si="8"/>
        <v>0</v>
      </c>
      <c r="S138" s="73">
        <f t="shared" si="8"/>
        <v>0</v>
      </c>
      <c r="T138" s="73">
        <f t="shared" si="8"/>
        <v>0</v>
      </c>
      <c r="U138" s="73">
        <f t="shared" si="8"/>
        <v>0</v>
      </c>
      <c r="V138" s="73">
        <f t="shared" si="8"/>
        <v>0</v>
      </c>
      <c r="W138" s="73">
        <f t="shared" si="8"/>
        <v>0</v>
      </c>
      <c r="X138" s="73">
        <f t="shared" si="8"/>
        <v>0</v>
      </c>
      <c r="Y138" s="73">
        <f t="shared" si="8"/>
        <v>0</v>
      </c>
      <c r="Z138" s="73">
        <f t="shared" si="8"/>
        <v>0</v>
      </c>
      <c r="AA138" s="73">
        <f t="shared" si="8"/>
        <v>0</v>
      </c>
      <c r="AB138" s="73">
        <f t="shared" si="8"/>
        <v>0</v>
      </c>
      <c r="AC138" s="73">
        <f t="shared" si="2"/>
        <v>0</v>
      </c>
      <c r="AD138" s="73">
        <f t="shared" si="3"/>
        <v>0</v>
      </c>
      <c r="AE138" s="73">
        <f t="shared" si="4"/>
        <v>0</v>
      </c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</row>
    <row r="139" spans="1:44">
      <c r="A139" s="5"/>
      <c r="B139" s="5"/>
      <c r="C139" s="71">
        <v>33</v>
      </c>
      <c r="D139" s="72" t="s">
        <v>119</v>
      </c>
      <c r="E139" s="73">
        <f t="shared" si="8"/>
        <v>0</v>
      </c>
      <c r="F139" s="73">
        <f t="shared" si="8"/>
        <v>0</v>
      </c>
      <c r="G139" s="73">
        <f t="shared" si="8"/>
        <v>0</v>
      </c>
      <c r="H139" s="73">
        <f t="shared" si="8"/>
        <v>0</v>
      </c>
      <c r="I139" s="73">
        <f t="shared" si="8"/>
        <v>0</v>
      </c>
      <c r="J139" s="73">
        <f t="shared" si="8"/>
        <v>0</v>
      </c>
      <c r="K139" s="73">
        <f t="shared" si="8"/>
        <v>0</v>
      </c>
      <c r="L139" s="73">
        <f t="shared" si="8"/>
        <v>0</v>
      </c>
      <c r="M139" s="73">
        <f t="shared" si="8"/>
        <v>0</v>
      </c>
      <c r="N139" s="73">
        <f t="shared" si="8"/>
        <v>0</v>
      </c>
      <c r="O139" s="73">
        <f t="shared" si="8"/>
        <v>0</v>
      </c>
      <c r="P139" s="73">
        <f t="shared" si="8"/>
        <v>0</v>
      </c>
      <c r="Q139" s="73">
        <f t="shared" si="8"/>
        <v>0</v>
      </c>
      <c r="R139" s="73">
        <f t="shared" si="8"/>
        <v>0</v>
      </c>
      <c r="S139" s="73">
        <f t="shared" si="8"/>
        <v>0</v>
      </c>
      <c r="T139" s="73">
        <f t="shared" ref="T139:AQ139" si="9">SUMIFS(T$7:T$96,$B$7:$B$96,$D139)</f>
        <v>0</v>
      </c>
      <c r="U139" s="73">
        <f t="shared" si="9"/>
        <v>0</v>
      </c>
      <c r="V139" s="73">
        <f t="shared" si="9"/>
        <v>0</v>
      </c>
      <c r="W139" s="73">
        <f t="shared" si="9"/>
        <v>0</v>
      </c>
      <c r="X139" s="73">
        <f t="shared" si="9"/>
        <v>0</v>
      </c>
      <c r="Y139" s="73">
        <f t="shared" si="9"/>
        <v>0</v>
      </c>
      <c r="Z139" s="73">
        <f t="shared" si="9"/>
        <v>0</v>
      </c>
      <c r="AA139" s="73">
        <f t="shared" si="9"/>
        <v>0</v>
      </c>
      <c r="AB139" s="73">
        <f t="shared" si="9"/>
        <v>0</v>
      </c>
      <c r="AC139" s="73">
        <f t="shared" si="2"/>
        <v>0</v>
      </c>
      <c r="AD139" s="73">
        <f t="shared" si="3"/>
        <v>0</v>
      </c>
      <c r="AE139" s="73">
        <f t="shared" si="4"/>
        <v>0</v>
      </c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</row>
    <row r="140" spans="1:44">
      <c r="A140" s="5"/>
      <c r="B140" s="5"/>
      <c r="C140" s="71">
        <v>34</v>
      </c>
      <c r="D140" s="74" t="s">
        <v>120</v>
      </c>
      <c r="E140" s="73">
        <f t="shared" ref="E140:AB150" si="10">SUMIFS(E$7:E$96,$B$7:$B$96,$D140)</f>
        <v>0</v>
      </c>
      <c r="F140" s="73">
        <f t="shared" si="10"/>
        <v>0</v>
      </c>
      <c r="G140" s="73">
        <f t="shared" si="10"/>
        <v>0</v>
      </c>
      <c r="H140" s="73">
        <f t="shared" si="10"/>
        <v>0</v>
      </c>
      <c r="I140" s="73">
        <f t="shared" si="10"/>
        <v>0</v>
      </c>
      <c r="J140" s="73">
        <f t="shared" si="10"/>
        <v>0</v>
      </c>
      <c r="K140" s="73">
        <f t="shared" si="10"/>
        <v>0</v>
      </c>
      <c r="L140" s="73">
        <f t="shared" si="10"/>
        <v>0</v>
      </c>
      <c r="M140" s="73">
        <f t="shared" si="10"/>
        <v>0</v>
      </c>
      <c r="N140" s="73">
        <f t="shared" si="10"/>
        <v>0</v>
      </c>
      <c r="O140" s="73">
        <f t="shared" si="10"/>
        <v>0</v>
      </c>
      <c r="P140" s="73">
        <f t="shared" si="10"/>
        <v>0</v>
      </c>
      <c r="Q140" s="73">
        <f t="shared" si="10"/>
        <v>0</v>
      </c>
      <c r="R140" s="73">
        <f t="shared" si="10"/>
        <v>0</v>
      </c>
      <c r="S140" s="73">
        <f t="shared" si="10"/>
        <v>0</v>
      </c>
      <c r="T140" s="73">
        <f t="shared" si="10"/>
        <v>0</v>
      </c>
      <c r="U140" s="73">
        <f t="shared" si="10"/>
        <v>0</v>
      </c>
      <c r="V140" s="73">
        <f t="shared" si="10"/>
        <v>0</v>
      </c>
      <c r="W140" s="73">
        <f t="shared" si="10"/>
        <v>0</v>
      </c>
      <c r="X140" s="73">
        <f t="shared" si="10"/>
        <v>0</v>
      </c>
      <c r="Y140" s="73">
        <f t="shared" si="10"/>
        <v>0</v>
      </c>
      <c r="Z140" s="73">
        <f t="shared" si="10"/>
        <v>0</v>
      </c>
      <c r="AA140" s="73">
        <f t="shared" si="10"/>
        <v>0</v>
      </c>
      <c r="AB140" s="73">
        <f t="shared" si="10"/>
        <v>0</v>
      </c>
      <c r="AC140" s="73">
        <f t="shared" si="2"/>
        <v>0</v>
      </c>
      <c r="AD140" s="73">
        <f t="shared" si="3"/>
        <v>0</v>
      </c>
      <c r="AE140" s="73">
        <f t="shared" si="4"/>
        <v>0</v>
      </c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</row>
    <row r="141" spans="1:44">
      <c r="A141" s="5"/>
      <c r="B141" s="5"/>
      <c r="C141" s="71">
        <v>35</v>
      </c>
      <c r="D141" s="72" t="s">
        <v>121</v>
      </c>
      <c r="E141" s="73">
        <f t="shared" si="10"/>
        <v>0</v>
      </c>
      <c r="F141" s="73">
        <f t="shared" si="10"/>
        <v>0</v>
      </c>
      <c r="G141" s="73">
        <f t="shared" si="10"/>
        <v>0</v>
      </c>
      <c r="H141" s="73">
        <f t="shared" si="10"/>
        <v>0</v>
      </c>
      <c r="I141" s="73">
        <f t="shared" si="10"/>
        <v>0</v>
      </c>
      <c r="J141" s="73">
        <f t="shared" si="10"/>
        <v>0</v>
      </c>
      <c r="K141" s="73">
        <f t="shared" si="10"/>
        <v>0</v>
      </c>
      <c r="L141" s="73">
        <f t="shared" si="10"/>
        <v>0</v>
      </c>
      <c r="M141" s="73">
        <f t="shared" si="10"/>
        <v>0</v>
      </c>
      <c r="N141" s="73">
        <f t="shared" si="10"/>
        <v>0</v>
      </c>
      <c r="O141" s="73">
        <f t="shared" si="10"/>
        <v>0</v>
      </c>
      <c r="P141" s="73">
        <f t="shared" si="10"/>
        <v>0</v>
      </c>
      <c r="Q141" s="73">
        <f t="shared" si="10"/>
        <v>0</v>
      </c>
      <c r="R141" s="73">
        <f t="shared" si="10"/>
        <v>0</v>
      </c>
      <c r="S141" s="73">
        <f t="shared" si="10"/>
        <v>0</v>
      </c>
      <c r="T141" s="73">
        <f t="shared" si="10"/>
        <v>0</v>
      </c>
      <c r="U141" s="73">
        <f t="shared" si="10"/>
        <v>0</v>
      </c>
      <c r="V141" s="73">
        <f t="shared" si="10"/>
        <v>0</v>
      </c>
      <c r="W141" s="73">
        <f t="shared" si="10"/>
        <v>0</v>
      </c>
      <c r="X141" s="73">
        <f t="shared" si="10"/>
        <v>0</v>
      </c>
      <c r="Y141" s="73">
        <f t="shared" si="10"/>
        <v>0</v>
      </c>
      <c r="Z141" s="73">
        <f t="shared" si="10"/>
        <v>0</v>
      </c>
      <c r="AA141" s="73">
        <f t="shared" si="10"/>
        <v>0</v>
      </c>
      <c r="AB141" s="73">
        <f t="shared" si="10"/>
        <v>0</v>
      </c>
      <c r="AC141" s="73">
        <f t="shared" si="2"/>
        <v>0</v>
      </c>
      <c r="AD141" s="73">
        <f t="shared" si="3"/>
        <v>0</v>
      </c>
      <c r="AE141" s="73">
        <f t="shared" si="4"/>
        <v>0</v>
      </c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</row>
    <row r="142" spans="1:44">
      <c r="A142" s="5"/>
      <c r="B142" s="5"/>
      <c r="C142" s="71">
        <v>36</v>
      </c>
      <c r="D142" s="72" t="s">
        <v>122</v>
      </c>
      <c r="E142" s="73">
        <f t="shared" si="10"/>
        <v>0</v>
      </c>
      <c r="F142" s="73">
        <f t="shared" si="10"/>
        <v>0</v>
      </c>
      <c r="G142" s="73">
        <f t="shared" si="10"/>
        <v>0</v>
      </c>
      <c r="H142" s="73">
        <f t="shared" si="10"/>
        <v>0</v>
      </c>
      <c r="I142" s="73">
        <f t="shared" si="10"/>
        <v>0</v>
      </c>
      <c r="J142" s="73">
        <f t="shared" si="10"/>
        <v>0</v>
      </c>
      <c r="K142" s="73">
        <f t="shared" si="10"/>
        <v>0</v>
      </c>
      <c r="L142" s="73">
        <f t="shared" si="10"/>
        <v>0</v>
      </c>
      <c r="M142" s="73">
        <f t="shared" si="10"/>
        <v>0</v>
      </c>
      <c r="N142" s="73">
        <f t="shared" si="10"/>
        <v>0</v>
      </c>
      <c r="O142" s="73">
        <f t="shared" si="10"/>
        <v>0</v>
      </c>
      <c r="P142" s="73">
        <f t="shared" si="10"/>
        <v>0</v>
      </c>
      <c r="Q142" s="73">
        <f t="shared" si="10"/>
        <v>0</v>
      </c>
      <c r="R142" s="73">
        <f t="shared" si="10"/>
        <v>0</v>
      </c>
      <c r="S142" s="73">
        <f t="shared" si="10"/>
        <v>0</v>
      </c>
      <c r="T142" s="73">
        <f t="shared" si="10"/>
        <v>0</v>
      </c>
      <c r="U142" s="73">
        <f t="shared" si="10"/>
        <v>0</v>
      </c>
      <c r="V142" s="73">
        <f t="shared" si="10"/>
        <v>0</v>
      </c>
      <c r="W142" s="73">
        <f t="shared" si="10"/>
        <v>0</v>
      </c>
      <c r="X142" s="73">
        <f t="shared" si="10"/>
        <v>0</v>
      </c>
      <c r="Y142" s="73">
        <f t="shared" si="10"/>
        <v>0</v>
      </c>
      <c r="Z142" s="73">
        <f t="shared" si="10"/>
        <v>0</v>
      </c>
      <c r="AA142" s="73">
        <f t="shared" si="10"/>
        <v>0</v>
      </c>
      <c r="AB142" s="73">
        <f t="shared" si="10"/>
        <v>0</v>
      </c>
      <c r="AC142" s="73">
        <f t="shared" si="2"/>
        <v>0</v>
      </c>
      <c r="AD142" s="73">
        <f t="shared" si="3"/>
        <v>0</v>
      </c>
      <c r="AE142" s="73">
        <f t="shared" si="4"/>
        <v>0</v>
      </c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</row>
    <row r="143" spans="1:44">
      <c r="A143" s="5"/>
      <c r="B143" s="5"/>
      <c r="C143" s="71">
        <v>37</v>
      </c>
      <c r="D143" s="76" t="s">
        <v>123</v>
      </c>
      <c r="E143" s="73">
        <f t="shared" si="10"/>
        <v>0</v>
      </c>
      <c r="F143" s="73">
        <f t="shared" si="10"/>
        <v>0</v>
      </c>
      <c r="G143" s="73">
        <f t="shared" si="10"/>
        <v>0</v>
      </c>
      <c r="H143" s="73">
        <f t="shared" si="10"/>
        <v>0</v>
      </c>
      <c r="I143" s="73">
        <f t="shared" si="10"/>
        <v>0</v>
      </c>
      <c r="J143" s="73">
        <f t="shared" si="10"/>
        <v>0</v>
      </c>
      <c r="K143" s="73">
        <f t="shared" si="10"/>
        <v>0</v>
      </c>
      <c r="L143" s="73">
        <f t="shared" si="10"/>
        <v>0</v>
      </c>
      <c r="M143" s="73">
        <f t="shared" si="10"/>
        <v>0</v>
      </c>
      <c r="N143" s="73">
        <f t="shared" si="10"/>
        <v>0</v>
      </c>
      <c r="O143" s="73">
        <f t="shared" si="10"/>
        <v>0</v>
      </c>
      <c r="P143" s="73">
        <f t="shared" si="10"/>
        <v>0</v>
      </c>
      <c r="Q143" s="73">
        <f t="shared" si="10"/>
        <v>0</v>
      </c>
      <c r="R143" s="73">
        <f t="shared" si="10"/>
        <v>0</v>
      </c>
      <c r="S143" s="73">
        <f t="shared" si="10"/>
        <v>0</v>
      </c>
      <c r="T143" s="73">
        <f t="shared" si="10"/>
        <v>0</v>
      </c>
      <c r="U143" s="73">
        <f t="shared" si="10"/>
        <v>0</v>
      </c>
      <c r="V143" s="73">
        <f t="shared" si="10"/>
        <v>0</v>
      </c>
      <c r="W143" s="73">
        <f t="shared" si="10"/>
        <v>0</v>
      </c>
      <c r="X143" s="73">
        <f t="shared" si="10"/>
        <v>0</v>
      </c>
      <c r="Y143" s="73">
        <f t="shared" si="10"/>
        <v>0</v>
      </c>
      <c r="Z143" s="73">
        <f t="shared" si="10"/>
        <v>0</v>
      </c>
      <c r="AA143" s="73">
        <f t="shared" si="10"/>
        <v>0</v>
      </c>
      <c r="AB143" s="73">
        <f t="shared" si="10"/>
        <v>0</v>
      </c>
      <c r="AC143" s="73">
        <f t="shared" si="2"/>
        <v>0</v>
      </c>
      <c r="AD143" s="73">
        <f t="shared" si="3"/>
        <v>0</v>
      </c>
      <c r="AE143" s="73">
        <f t="shared" si="4"/>
        <v>0</v>
      </c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</row>
    <row r="144" spans="1:44">
      <c r="A144" s="5"/>
      <c r="B144" s="5"/>
      <c r="C144" s="71">
        <v>38</v>
      </c>
      <c r="D144" s="72" t="s">
        <v>124</v>
      </c>
      <c r="E144" s="73">
        <f t="shared" si="10"/>
        <v>0</v>
      </c>
      <c r="F144" s="73">
        <f t="shared" si="10"/>
        <v>0</v>
      </c>
      <c r="G144" s="73">
        <f t="shared" si="10"/>
        <v>0</v>
      </c>
      <c r="H144" s="73">
        <f t="shared" si="10"/>
        <v>0</v>
      </c>
      <c r="I144" s="73">
        <f t="shared" si="10"/>
        <v>0</v>
      </c>
      <c r="J144" s="73">
        <f t="shared" si="10"/>
        <v>0</v>
      </c>
      <c r="K144" s="73">
        <f t="shared" si="10"/>
        <v>0</v>
      </c>
      <c r="L144" s="73">
        <f t="shared" si="10"/>
        <v>0</v>
      </c>
      <c r="M144" s="73">
        <f t="shared" si="10"/>
        <v>0</v>
      </c>
      <c r="N144" s="73">
        <f t="shared" si="10"/>
        <v>0</v>
      </c>
      <c r="O144" s="73">
        <f t="shared" si="10"/>
        <v>0</v>
      </c>
      <c r="P144" s="73">
        <f t="shared" si="10"/>
        <v>0</v>
      </c>
      <c r="Q144" s="73">
        <f t="shared" si="10"/>
        <v>0</v>
      </c>
      <c r="R144" s="73">
        <f t="shared" si="10"/>
        <v>0</v>
      </c>
      <c r="S144" s="73">
        <f t="shared" si="10"/>
        <v>0</v>
      </c>
      <c r="T144" s="73">
        <f t="shared" si="10"/>
        <v>0</v>
      </c>
      <c r="U144" s="73">
        <f t="shared" si="10"/>
        <v>0</v>
      </c>
      <c r="V144" s="73">
        <f t="shared" si="10"/>
        <v>0</v>
      </c>
      <c r="W144" s="73">
        <f t="shared" si="10"/>
        <v>0</v>
      </c>
      <c r="X144" s="73">
        <f t="shared" si="10"/>
        <v>0</v>
      </c>
      <c r="Y144" s="73">
        <f t="shared" si="10"/>
        <v>0</v>
      </c>
      <c r="Z144" s="73">
        <f t="shared" si="10"/>
        <v>0</v>
      </c>
      <c r="AA144" s="73">
        <f t="shared" si="10"/>
        <v>0</v>
      </c>
      <c r="AB144" s="73">
        <f t="shared" si="10"/>
        <v>0</v>
      </c>
      <c r="AC144" s="73">
        <f t="shared" si="2"/>
        <v>0</v>
      </c>
      <c r="AD144" s="73">
        <f t="shared" si="3"/>
        <v>0</v>
      </c>
      <c r="AE144" s="73">
        <f t="shared" si="4"/>
        <v>0</v>
      </c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</row>
    <row r="145" spans="1:44">
      <c r="A145" s="5"/>
      <c r="B145" s="5"/>
      <c r="C145" s="71">
        <v>39</v>
      </c>
      <c r="D145" s="72" t="s">
        <v>70</v>
      </c>
      <c r="E145" s="73">
        <f t="shared" si="10"/>
        <v>0</v>
      </c>
      <c r="F145" s="73">
        <f t="shared" si="10"/>
        <v>0</v>
      </c>
      <c r="G145" s="73">
        <f t="shared" si="10"/>
        <v>0</v>
      </c>
      <c r="H145" s="73">
        <f t="shared" si="10"/>
        <v>0</v>
      </c>
      <c r="I145" s="73">
        <f t="shared" si="10"/>
        <v>0</v>
      </c>
      <c r="J145" s="73">
        <f t="shared" si="10"/>
        <v>0</v>
      </c>
      <c r="K145" s="73">
        <f t="shared" si="10"/>
        <v>0</v>
      </c>
      <c r="L145" s="73">
        <f t="shared" si="10"/>
        <v>0</v>
      </c>
      <c r="M145" s="73">
        <f t="shared" si="10"/>
        <v>0</v>
      </c>
      <c r="N145" s="73">
        <f t="shared" si="10"/>
        <v>0</v>
      </c>
      <c r="O145" s="73">
        <f t="shared" si="10"/>
        <v>2</v>
      </c>
      <c r="P145" s="73">
        <f t="shared" si="10"/>
        <v>0</v>
      </c>
      <c r="Q145" s="73">
        <f t="shared" si="10"/>
        <v>0</v>
      </c>
      <c r="R145" s="73">
        <f t="shared" si="10"/>
        <v>0</v>
      </c>
      <c r="S145" s="73">
        <f t="shared" si="10"/>
        <v>0</v>
      </c>
      <c r="T145" s="73">
        <f t="shared" si="10"/>
        <v>0</v>
      </c>
      <c r="U145" s="73">
        <f t="shared" si="10"/>
        <v>0</v>
      </c>
      <c r="V145" s="73">
        <f t="shared" si="10"/>
        <v>0</v>
      </c>
      <c r="W145" s="73">
        <f t="shared" si="10"/>
        <v>0</v>
      </c>
      <c r="X145" s="73">
        <f t="shared" si="10"/>
        <v>0</v>
      </c>
      <c r="Y145" s="73">
        <f t="shared" si="10"/>
        <v>0</v>
      </c>
      <c r="Z145" s="73">
        <f t="shared" si="10"/>
        <v>0</v>
      </c>
      <c r="AA145" s="73">
        <f t="shared" si="10"/>
        <v>0</v>
      </c>
      <c r="AB145" s="73">
        <f t="shared" si="10"/>
        <v>0</v>
      </c>
      <c r="AC145" s="73">
        <f t="shared" si="2"/>
        <v>0</v>
      </c>
      <c r="AD145" s="73">
        <f t="shared" si="3"/>
        <v>0</v>
      </c>
      <c r="AE145" s="73">
        <f t="shared" si="4"/>
        <v>0</v>
      </c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</row>
    <row r="146" spans="1:44">
      <c r="A146" s="5"/>
      <c r="B146" s="5"/>
      <c r="C146" s="71">
        <v>40</v>
      </c>
      <c r="D146" s="72" t="s">
        <v>125</v>
      </c>
      <c r="E146" s="73">
        <f t="shared" si="10"/>
        <v>0</v>
      </c>
      <c r="F146" s="73">
        <f t="shared" si="10"/>
        <v>0</v>
      </c>
      <c r="G146" s="73">
        <f t="shared" si="10"/>
        <v>0</v>
      </c>
      <c r="H146" s="73">
        <f t="shared" si="10"/>
        <v>0</v>
      </c>
      <c r="I146" s="73">
        <f t="shared" si="10"/>
        <v>0</v>
      </c>
      <c r="J146" s="73">
        <f t="shared" si="10"/>
        <v>0</v>
      </c>
      <c r="K146" s="73">
        <f t="shared" si="10"/>
        <v>0</v>
      </c>
      <c r="L146" s="73">
        <f t="shared" si="10"/>
        <v>0</v>
      </c>
      <c r="M146" s="73">
        <f t="shared" si="10"/>
        <v>0</v>
      </c>
      <c r="N146" s="73">
        <f t="shared" si="10"/>
        <v>0</v>
      </c>
      <c r="O146" s="73">
        <f t="shared" si="10"/>
        <v>0</v>
      </c>
      <c r="P146" s="73">
        <f t="shared" si="10"/>
        <v>0</v>
      </c>
      <c r="Q146" s="73">
        <f t="shared" si="10"/>
        <v>0</v>
      </c>
      <c r="R146" s="73">
        <f t="shared" si="10"/>
        <v>0</v>
      </c>
      <c r="S146" s="73">
        <f t="shared" si="10"/>
        <v>0</v>
      </c>
      <c r="T146" s="73">
        <f t="shared" si="10"/>
        <v>0</v>
      </c>
      <c r="U146" s="73">
        <f t="shared" si="10"/>
        <v>0</v>
      </c>
      <c r="V146" s="73">
        <f t="shared" si="10"/>
        <v>0</v>
      </c>
      <c r="W146" s="73">
        <f t="shared" si="10"/>
        <v>0</v>
      </c>
      <c r="X146" s="73">
        <f t="shared" si="10"/>
        <v>0</v>
      </c>
      <c r="Y146" s="73">
        <f t="shared" si="10"/>
        <v>0</v>
      </c>
      <c r="Z146" s="73">
        <f t="shared" si="10"/>
        <v>0</v>
      </c>
      <c r="AA146" s="73">
        <f t="shared" si="10"/>
        <v>0</v>
      </c>
      <c r="AB146" s="73">
        <f t="shared" si="10"/>
        <v>0</v>
      </c>
      <c r="AC146" s="73">
        <f t="shared" si="2"/>
        <v>0</v>
      </c>
      <c r="AD146" s="73">
        <f t="shared" si="3"/>
        <v>0</v>
      </c>
      <c r="AE146" s="73">
        <f t="shared" si="4"/>
        <v>0</v>
      </c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</row>
    <row r="147" spans="1:44">
      <c r="A147" s="5"/>
      <c r="B147" s="5"/>
      <c r="C147" s="71">
        <v>41</v>
      </c>
      <c r="D147" s="72" t="s">
        <v>60</v>
      </c>
      <c r="E147" s="73">
        <f t="shared" si="10"/>
        <v>0</v>
      </c>
      <c r="F147" s="73">
        <f t="shared" si="10"/>
        <v>0</v>
      </c>
      <c r="G147" s="73">
        <f t="shared" si="10"/>
        <v>0</v>
      </c>
      <c r="H147" s="73">
        <f t="shared" si="10"/>
        <v>0</v>
      </c>
      <c r="I147" s="73">
        <f t="shared" si="10"/>
        <v>0</v>
      </c>
      <c r="J147" s="73">
        <f t="shared" si="10"/>
        <v>0</v>
      </c>
      <c r="K147" s="73">
        <f t="shared" si="10"/>
        <v>0</v>
      </c>
      <c r="L147" s="73">
        <f t="shared" si="10"/>
        <v>0</v>
      </c>
      <c r="M147" s="73">
        <f t="shared" si="10"/>
        <v>0</v>
      </c>
      <c r="N147" s="73">
        <f t="shared" si="10"/>
        <v>0</v>
      </c>
      <c r="O147" s="73">
        <f t="shared" si="10"/>
        <v>0</v>
      </c>
      <c r="P147" s="73">
        <f t="shared" si="10"/>
        <v>0</v>
      </c>
      <c r="Q147" s="73">
        <f t="shared" si="10"/>
        <v>0</v>
      </c>
      <c r="R147" s="73">
        <f t="shared" si="10"/>
        <v>1</v>
      </c>
      <c r="S147" s="73">
        <f t="shared" si="10"/>
        <v>0</v>
      </c>
      <c r="T147" s="73">
        <f t="shared" si="10"/>
        <v>0</v>
      </c>
      <c r="U147" s="73">
        <f t="shared" si="10"/>
        <v>0</v>
      </c>
      <c r="V147" s="73">
        <f t="shared" si="10"/>
        <v>0</v>
      </c>
      <c r="W147" s="73">
        <f t="shared" si="10"/>
        <v>0</v>
      </c>
      <c r="X147" s="73">
        <f t="shared" si="10"/>
        <v>0</v>
      </c>
      <c r="Y147" s="73">
        <f t="shared" si="10"/>
        <v>0</v>
      </c>
      <c r="Z147" s="73">
        <f t="shared" si="10"/>
        <v>0</v>
      </c>
      <c r="AA147" s="73">
        <f t="shared" si="10"/>
        <v>0</v>
      </c>
      <c r="AB147" s="73">
        <f t="shared" si="10"/>
        <v>0</v>
      </c>
      <c r="AC147" s="73">
        <f t="shared" si="2"/>
        <v>0</v>
      </c>
      <c r="AD147" s="73">
        <f t="shared" si="3"/>
        <v>0</v>
      </c>
      <c r="AE147" s="73">
        <f t="shared" si="4"/>
        <v>0</v>
      </c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</row>
    <row r="148" spans="1:44">
      <c r="A148" s="5"/>
      <c r="B148" s="5"/>
      <c r="C148" s="71">
        <v>42</v>
      </c>
      <c r="D148" s="72" t="s">
        <v>126</v>
      </c>
      <c r="E148" s="73">
        <f t="shared" si="10"/>
        <v>0</v>
      </c>
      <c r="F148" s="73">
        <f t="shared" si="10"/>
        <v>0</v>
      </c>
      <c r="G148" s="73">
        <f t="shared" si="10"/>
        <v>0</v>
      </c>
      <c r="H148" s="73">
        <f t="shared" si="10"/>
        <v>0</v>
      </c>
      <c r="I148" s="73">
        <f t="shared" si="10"/>
        <v>0</v>
      </c>
      <c r="J148" s="73">
        <f t="shared" si="10"/>
        <v>0</v>
      </c>
      <c r="K148" s="73">
        <f t="shared" si="10"/>
        <v>0</v>
      </c>
      <c r="L148" s="73">
        <f t="shared" si="10"/>
        <v>0</v>
      </c>
      <c r="M148" s="73">
        <f t="shared" si="10"/>
        <v>0</v>
      </c>
      <c r="N148" s="73">
        <f t="shared" si="10"/>
        <v>0</v>
      </c>
      <c r="O148" s="73">
        <f t="shared" si="10"/>
        <v>0</v>
      </c>
      <c r="P148" s="73">
        <f t="shared" si="10"/>
        <v>0</v>
      </c>
      <c r="Q148" s="73">
        <f t="shared" si="10"/>
        <v>0</v>
      </c>
      <c r="R148" s="73">
        <f t="shared" si="10"/>
        <v>0</v>
      </c>
      <c r="S148" s="73">
        <f t="shared" si="10"/>
        <v>0</v>
      </c>
      <c r="T148" s="73">
        <f t="shared" si="10"/>
        <v>0</v>
      </c>
      <c r="U148" s="73">
        <f t="shared" si="10"/>
        <v>0</v>
      </c>
      <c r="V148" s="73">
        <f t="shared" si="10"/>
        <v>0</v>
      </c>
      <c r="W148" s="73">
        <f t="shared" si="10"/>
        <v>0</v>
      </c>
      <c r="X148" s="73">
        <f t="shared" si="10"/>
        <v>0</v>
      </c>
      <c r="Y148" s="73">
        <f t="shared" si="10"/>
        <v>0</v>
      </c>
      <c r="Z148" s="73">
        <f t="shared" si="10"/>
        <v>0</v>
      </c>
      <c r="AA148" s="73">
        <f t="shared" si="10"/>
        <v>0</v>
      </c>
      <c r="AB148" s="73">
        <f t="shared" si="10"/>
        <v>0</v>
      </c>
      <c r="AC148" s="73">
        <f t="shared" si="2"/>
        <v>0</v>
      </c>
      <c r="AD148" s="73">
        <f t="shared" si="3"/>
        <v>0</v>
      </c>
      <c r="AE148" s="73">
        <f t="shared" si="4"/>
        <v>0</v>
      </c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</row>
    <row r="149" spans="1:44">
      <c r="A149" s="5"/>
      <c r="B149" s="5"/>
      <c r="C149" s="71">
        <v>43</v>
      </c>
      <c r="D149" s="72" t="s">
        <v>127</v>
      </c>
      <c r="E149" s="73">
        <f t="shared" si="10"/>
        <v>0</v>
      </c>
      <c r="F149" s="73">
        <f t="shared" si="10"/>
        <v>0</v>
      </c>
      <c r="G149" s="73">
        <f t="shared" si="10"/>
        <v>0</v>
      </c>
      <c r="H149" s="73">
        <f t="shared" si="10"/>
        <v>0</v>
      </c>
      <c r="I149" s="73">
        <f t="shared" si="10"/>
        <v>0</v>
      </c>
      <c r="J149" s="73">
        <f t="shared" si="10"/>
        <v>0</v>
      </c>
      <c r="K149" s="73">
        <f t="shared" si="10"/>
        <v>0</v>
      </c>
      <c r="L149" s="73">
        <f t="shared" si="10"/>
        <v>0</v>
      </c>
      <c r="M149" s="73">
        <f t="shared" si="10"/>
        <v>0</v>
      </c>
      <c r="N149" s="73">
        <f t="shared" si="10"/>
        <v>0</v>
      </c>
      <c r="O149" s="73">
        <f t="shared" si="10"/>
        <v>0</v>
      </c>
      <c r="P149" s="73">
        <f t="shared" si="10"/>
        <v>0</v>
      </c>
      <c r="Q149" s="73">
        <f t="shared" si="10"/>
        <v>0</v>
      </c>
      <c r="R149" s="73">
        <f t="shared" si="10"/>
        <v>0</v>
      </c>
      <c r="S149" s="73">
        <f t="shared" si="10"/>
        <v>0</v>
      </c>
      <c r="T149" s="73">
        <f t="shared" si="10"/>
        <v>0</v>
      </c>
      <c r="U149" s="73">
        <f t="shared" si="10"/>
        <v>0</v>
      </c>
      <c r="V149" s="73">
        <f t="shared" si="10"/>
        <v>0</v>
      </c>
      <c r="W149" s="73">
        <f t="shared" si="10"/>
        <v>0</v>
      </c>
      <c r="X149" s="73">
        <f t="shared" si="10"/>
        <v>0</v>
      </c>
      <c r="Y149" s="73">
        <f t="shared" si="10"/>
        <v>0</v>
      </c>
      <c r="Z149" s="73">
        <f t="shared" si="10"/>
        <v>0</v>
      </c>
      <c r="AA149" s="73">
        <f t="shared" si="10"/>
        <v>0</v>
      </c>
      <c r="AB149" s="73">
        <f t="shared" si="10"/>
        <v>0</v>
      </c>
      <c r="AC149" s="73">
        <f t="shared" si="2"/>
        <v>0</v>
      </c>
      <c r="AD149" s="73">
        <f t="shared" si="3"/>
        <v>0</v>
      </c>
      <c r="AE149" s="73">
        <f t="shared" si="4"/>
        <v>0</v>
      </c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</row>
    <row r="150" spans="1:44">
      <c r="A150" s="5"/>
      <c r="B150" s="5"/>
      <c r="C150" s="71">
        <v>44</v>
      </c>
      <c r="D150" s="74" t="s">
        <v>128</v>
      </c>
      <c r="E150" s="73">
        <f t="shared" si="10"/>
        <v>0</v>
      </c>
      <c r="F150" s="73">
        <f t="shared" si="10"/>
        <v>0</v>
      </c>
      <c r="G150" s="73">
        <f t="shared" si="10"/>
        <v>0</v>
      </c>
      <c r="H150" s="73">
        <f t="shared" si="10"/>
        <v>0</v>
      </c>
      <c r="I150" s="73">
        <f t="shared" si="10"/>
        <v>0</v>
      </c>
      <c r="J150" s="73">
        <f t="shared" si="10"/>
        <v>0</v>
      </c>
      <c r="K150" s="73">
        <f t="shared" si="10"/>
        <v>0</v>
      </c>
      <c r="L150" s="73">
        <f t="shared" si="10"/>
        <v>0</v>
      </c>
      <c r="M150" s="73">
        <f t="shared" si="10"/>
        <v>0</v>
      </c>
      <c r="N150" s="73">
        <f t="shared" si="10"/>
        <v>0</v>
      </c>
      <c r="O150" s="73">
        <f t="shared" si="10"/>
        <v>0</v>
      </c>
      <c r="P150" s="73">
        <f t="shared" si="10"/>
        <v>0</v>
      </c>
      <c r="Q150" s="73">
        <f t="shared" si="10"/>
        <v>0</v>
      </c>
      <c r="R150" s="73">
        <f t="shared" si="10"/>
        <v>0</v>
      </c>
      <c r="S150" s="73">
        <f t="shared" si="10"/>
        <v>0</v>
      </c>
      <c r="T150" s="73">
        <f t="shared" ref="T150:AQ150" si="11">SUMIFS(T$7:T$96,$B$7:$B$96,$D150)</f>
        <v>0</v>
      </c>
      <c r="U150" s="73">
        <f t="shared" si="11"/>
        <v>0</v>
      </c>
      <c r="V150" s="73">
        <f t="shared" si="11"/>
        <v>0</v>
      </c>
      <c r="W150" s="73">
        <f t="shared" si="11"/>
        <v>0</v>
      </c>
      <c r="X150" s="73">
        <f t="shared" si="11"/>
        <v>0</v>
      </c>
      <c r="Y150" s="73">
        <f t="shared" si="11"/>
        <v>0</v>
      </c>
      <c r="Z150" s="73">
        <f t="shared" si="11"/>
        <v>0</v>
      </c>
      <c r="AA150" s="73">
        <f t="shared" si="11"/>
        <v>0</v>
      </c>
      <c r="AB150" s="73">
        <f t="shared" si="11"/>
        <v>0</v>
      </c>
      <c r="AC150" s="73">
        <f t="shared" si="2"/>
        <v>0</v>
      </c>
      <c r="AD150" s="73">
        <f t="shared" si="3"/>
        <v>0</v>
      </c>
      <c r="AE150" s="73">
        <f t="shared" si="4"/>
        <v>0</v>
      </c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</row>
    <row r="151" spans="1:44">
      <c r="A151" s="5"/>
      <c r="B151" s="5"/>
      <c r="C151" s="71">
        <v>45</v>
      </c>
      <c r="D151" s="77" t="s">
        <v>73</v>
      </c>
      <c r="E151" s="73">
        <f t="shared" ref="E151:AB153" si="12">SUMIFS(E$7:E$96,$B$7:$B$96,$D151)</f>
        <v>0</v>
      </c>
      <c r="F151" s="73">
        <f t="shared" si="12"/>
        <v>0</v>
      </c>
      <c r="G151" s="73">
        <f t="shared" si="12"/>
        <v>0</v>
      </c>
      <c r="H151" s="73">
        <f t="shared" si="12"/>
        <v>0</v>
      </c>
      <c r="I151" s="73">
        <f t="shared" si="12"/>
        <v>0</v>
      </c>
      <c r="J151" s="73">
        <f t="shared" si="12"/>
        <v>0</v>
      </c>
      <c r="K151" s="73">
        <f t="shared" si="12"/>
        <v>0</v>
      </c>
      <c r="L151" s="73">
        <f t="shared" si="12"/>
        <v>0</v>
      </c>
      <c r="M151" s="73">
        <f t="shared" si="12"/>
        <v>0</v>
      </c>
      <c r="N151" s="73">
        <f t="shared" si="12"/>
        <v>0</v>
      </c>
      <c r="O151" s="73">
        <f t="shared" si="12"/>
        <v>0</v>
      </c>
      <c r="P151" s="73">
        <f t="shared" si="12"/>
        <v>0</v>
      </c>
      <c r="Q151" s="73">
        <f t="shared" si="12"/>
        <v>0</v>
      </c>
      <c r="R151" s="73">
        <f t="shared" si="12"/>
        <v>0</v>
      </c>
      <c r="S151" s="73">
        <f t="shared" si="12"/>
        <v>0</v>
      </c>
      <c r="T151" s="73">
        <f t="shared" si="12"/>
        <v>0</v>
      </c>
      <c r="U151" s="73">
        <f t="shared" si="12"/>
        <v>0</v>
      </c>
      <c r="V151" s="73">
        <f t="shared" si="12"/>
        <v>0</v>
      </c>
      <c r="W151" s="73">
        <f t="shared" si="12"/>
        <v>0</v>
      </c>
      <c r="X151" s="73">
        <f t="shared" si="12"/>
        <v>0</v>
      </c>
      <c r="Y151" s="73">
        <f t="shared" si="12"/>
        <v>0</v>
      </c>
      <c r="Z151" s="73">
        <f t="shared" si="12"/>
        <v>0</v>
      </c>
      <c r="AA151" s="73">
        <f t="shared" si="12"/>
        <v>0</v>
      </c>
      <c r="AB151" s="73">
        <f t="shared" si="12"/>
        <v>0</v>
      </c>
      <c r="AC151" s="73">
        <f t="shared" si="2"/>
        <v>0</v>
      </c>
      <c r="AD151" s="73">
        <f t="shared" si="3"/>
        <v>0</v>
      </c>
      <c r="AE151" s="73">
        <f t="shared" si="4"/>
        <v>0</v>
      </c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</row>
    <row r="152" spans="1:44">
      <c r="A152" s="5"/>
      <c r="B152" s="5"/>
      <c r="C152" s="71">
        <v>46</v>
      </c>
      <c r="D152" s="72" t="s">
        <v>129</v>
      </c>
      <c r="E152" s="73">
        <f t="shared" si="12"/>
        <v>0</v>
      </c>
      <c r="F152" s="73">
        <f t="shared" si="12"/>
        <v>0</v>
      </c>
      <c r="G152" s="73">
        <f t="shared" si="12"/>
        <v>0</v>
      </c>
      <c r="H152" s="73">
        <f t="shared" si="12"/>
        <v>0</v>
      </c>
      <c r="I152" s="73">
        <f t="shared" si="12"/>
        <v>0</v>
      </c>
      <c r="J152" s="73">
        <f t="shared" si="12"/>
        <v>0</v>
      </c>
      <c r="K152" s="73">
        <f t="shared" si="12"/>
        <v>0</v>
      </c>
      <c r="L152" s="73">
        <f t="shared" si="12"/>
        <v>0</v>
      </c>
      <c r="M152" s="73">
        <f t="shared" si="12"/>
        <v>0</v>
      </c>
      <c r="N152" s="73">
        <f t="shared" si="12"/>
        <v>0</v>
      </c>
      <c r="O152" s="73">
        <f t="shared" si="12"/>
        <v>0</v>
      </c>
      <c r="P152" s="73">
        <f t="shared" si="12"/>
        <v>0</v>
      </c>
      <c r="Q152" s="73">
        <f t="shared" si="12"/>
        <v>0</v>
      </c>
      <c r="R152" s="73">
        <f t="shared" si="12"/>
        <v>0</v>
      </c>
      <c r="S152" s="73">
        <f t="shared" si="12"/>
        <v>0</v>
      </c>
      <c r="T152" s="73">
        <f t="shared" si="12"/>
        <v>0</v>
      </c>
      <c r="U152" s="73">
        <f t="shared" si="12"/>
        <v>0</v>
      </c>
      <c r="V152" s="73">
        <f t="shared" si="12"/>
        <v>0</v>
      </c>
      <c r="W152" s="73">
        <f t="shared" si="12"/>
        <v>0</v>
      </c>
      <c r="X152" s="73">
        <f t="shared" si="12"/>
        <v>0</v>
      </c>
      <c r="Y152" s="73">
        <f t="shared" si="12"/>
        <v>0</v>
      </c>
      <c r="Z152" s="73">
        <f t="shared" si="12"/>
        <v>0</v>
      </c>
      <c r="AA152" s="73">
        <f t="shared" si="12"/>
        <v>0</v>
      </c>
      <c r="AB152" s="73">
        <f t="shared" si="12"/>
        <v>0</v>
      </c>
      <c r="AC152" s="73">
        <f t="shared" si="2"/>
        <v>0</v>
      </c>
      <c r="AD152" s="73">
        <f t="shared" si="3"/>
        <v>0</v>
      </c>
      <c r="AE152" s="73">
        <f t="shared" si="4"/>
        <v>0</v>
      </c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</row>
    <row r="153" spans="1:44" ht="15.75">
      <c r="A153" s="5"/>
      <c r="B153" s="5"/>
      <c r="C153" s="78">
        <v>47</v>
      </c>
      <c r="D153" s="79" t="s">
        <v>130</v>
      </c>
      <c r="E153" s="73">
        <f t="shared" si="12"/>
        <v>0</v>
      </c>
      <c r="F153" s="73">
        <f t="shared" si="12"/>
        <v>0</v>
      </c>
      <c r="G153" s="73">
        <f t="shared" si="12"/>
        <v>0</v>
      </c>
      <c r="H153" s="73">
        <f t="shared" si="12"/>
        <v>0</v>
      </c>
      <c r="I153" s="73">
        <f t="shared" si="12"/>
        <v>0</v>
      </c>
      <c r="J153" s="73">
        <f t="shared" si="12"/>
        <v>0</v>
      </c>
      <c r="K153" s="73">
        <f t="shared" si="12"/>
        <v>0</v>
      </c>
      <c r="L153" s="73">
        <f t="shared" si="12"/>
        <v>0</v>
      </c>
      <c r="M153" s="73">
        <f t="shared" si="12"/>
        <v>0</v>
      </c>
      <c r="N153" s="73">
        <f t="shared" si="12"/>
        <v>0</v>
      </c>
      <c r="O153" s="73">
        <f t="shared" si="12"/>
        <v>0</v>
      </c>
      <c r="P153" s="73">
        <f t="shared" si="12"/>
        <v>0</v>
      </c>
      <c r="Q153" s="73">
        <f t="shared" si="12"/>
        <v>0</v>
      </c>
      <c r="R153" s="73">
        <f t="shared" si="12"/>
        <v>0</v>
      </c>
      <c r="S153" s="73">
        <f t="shared" si="12"/>
        <v>0</v>
      </c>
      <c r="T153" s="73">
        <f t="shared" si="12"/>
        <v>0</v>
      </c>
      <c r="U153" s="73">
        <f t="shared" si="12"/>
        <v>0</v>
      </c>
      <c r="V153" s="73">
        <f t="shared" si="12"/>
        <v>0</v>
      </c>
      <c r="W153" s="73">
        <f t="shared" si="12"/>
        <v>0</v>
      </c>
      <c r="X153" s="73">
        <f t="shared" si="12"/>
        <v>0</v>
      </c>
      <c r="Y153" s="80"/>
      <c r="Z153" s="73">
        <f t="shared" si="12"/>
        <v>0</v>
      </c>
      <c r="AA153" s="73">
        <f t="shared" si="12"/>
        <v>0</v>
      </c>
      <c r="AB153" s="73">
        <f t="shared" si="12"/>
        <v>0</v>
      </c>
      <c r="AC153" s="73">
        <f t="shared" si="2"/>
        <v>0</v>
      </c>
      <c r="AD153" s="73">
        <f t="shared" si="3"/>
        <v>0</v>
      </c>
      <c r="AE153" s="73">
        <f t="shared" si="4"/>
        <v>0</v>
      </c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</row>
    <row r="154" spans="1:44" ht="18.75">
      <c r="A154" s="5"/>
      <c r="B154" s="5"/>
      <c r="C154" s="47"/>
      <c r="D154" s="81" t="s">
        <v>131</v>
      </c>
      <c r="E154" s="80">
        <f t="shared" ref="E154:X154" si="13">SUM(E107:E153)</f>
        <v>2</v>
      </c>
      <c r="F154" s="80">
        <f t="shared" si="13"/>
        <v>0</v>
      </c>
      <c r="G154" s="80">
        <f t="shared" si="13"/>
        <v>0</v>
      </c>
      <c r="H154" s="80">
        <f t="shared" si="13"/>
        <v>1</v>
      </c>
      <c r="I154" s="80">
        <f t="shared" si="13"/>
        <v>0</v>
      </c>
      <c r="J154" s="80">
        <f t="shared" si="13"/>
        <v>1</v>
      </c>
      <c r="K154" s="80">
        <f t="shared" si="13"/>
        <v>1</v>
      </c>
      <c r="L154" s="80">
        <f t="shared" si="13"/>
        <v>0</v>
      </c>
      <c r="M154" s="80">
        <f t="shared" si="13"/>
        <v>0</v>
      </c>
      <c r="N154" s="80">
        <f t="shared" si="13"/>
        <v>0</v>
      </c>
      <c r="O154" s="80">
        <f t="shared" si="13"/>
        <v>5</v>
      </c>
      <c r="P154" s="80">
        <f t="shared" si="13"/>
        <v>2</v>
      </c>
      <c r="Q154" s="80">
        <f t="shared" si="13"/>
        <v>0</v>
      </c>
      <c r="R154" s="80">
        <f t="shared" si="13"/>
        <v>1</v>
      </c>
      <c r="S154" s="80">
        <f t="shared" si="13"/>
        <v>0</v>
      </c>
      <c r="T154" s="80">
        <f t="shared" si="13"/>
        <v>0</v>
      </c>
      <c r="U154" s="80">
        <f t="shared" si="13"/>
        <v>0</v>
      </c>
      <c r="V154" s="80">
        <f t="shared" si="13"/>
        <v>0</v>
      </c>
      <c r="W154" s="80">
        <f t="shared" si="13"/>
        <v>0</v>
      </c>
      <c r="X154" s="80">
        <f t="shared" si="13"/>
        <v>0</v>
      </c>
      <c r="Y154" s="80">
        <f t="shared" ref="Y154:AE154" si="14">SUM(Y107:Y152)</f>
        <v>0</v>
      </c>
      <c r="Z154" s="80">
        <f t="shared" si="14"/>
        <v>0</v>
      </c>
      <c r="AA154" s="80">
        <f t="shared" si="14"/>
        <v>0</v>
      </c>
      <c r="AB154" s="80">
        <f t="shared" si="14"/>
        <v>0</v>
      </c>
      <c r="AC154" s="80">
        <f t="shared" si="14"/>
        <v>0</v>
      </c>
      <c r="AD154" s="80">
        <f t="shared" si="14"/>
        <v>0</v>
      </c>
      <c r="AE154" s="80">
        <f t="shared" si="14"/>
        <v>0</v>
      </c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</row>
    <row r="155" spans="1:4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</row>
    <row r="156" spans="1:4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</row>
    <row r="157" spans="1:4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</row>
    <row r="158" spans="1:4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</row>
    <row r="159" spans="1:4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</row>
    <row r="160" spans="1:4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</row>
    <row r="161" spans="1:4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</row>
    <row r="162" spans="1:4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</row>
    <row r="163" spans="1:4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</row>
    <row r="164" spans="1:4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</row>
    <row r="165" spans="1:4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</row>
    <row r="166" spans="1:4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</row>
    <row r="167" spans="1:4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</row>
    <row r="168" spans="1:4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</row>
    <row r="169" spans="1:4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</row>
    <row r="170" spans="1:4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</row>
    <row r="171" spans="1:4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</row>
    <row r="172" spans="1:4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</row>
    <row r="173" spans="1:4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</row>
    <row r="174" spans="1:4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</row>
    <row r="175" spans="1:4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</row>
    <row r="176" spans="1:4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</row>
    <row r="177" spans="1:4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</row>
    <row r="178" spans="1:4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</row>
    <row r="179" spans="1:4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</row>
    <row r="180" spans="1:4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</row>
    <row r="181" spans="1:4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</row>
    <row r="182" spans="1:4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</row>
    <row r="183" spans="1:4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</row>
    <row r="184" spans="1:4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</row>
    <row r="185" spans="1:4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</row>
    <row r="186" spans="1:4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</row>
    <row r="187" spans="1:4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</row>
    <row r="188" spans="1:4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</row>
    <row r="189" spans="1:4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</row>
    <row r="190" spans="1:4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</row>
    <row r="191" spans="1:4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</row>
    <row r="192" spans="1:4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</row>
    <row r="193" spans="1:4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</row>
    <row r="194" spans="1:4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</row>
    <row r="195" spans="1:4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</row>
    <row r="196" spans="1:4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</row>
    <row r="197" spans="1:4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</row>
    <row r="198" spans="1:4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</row>
    <row r="199" spans="1:4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</row>
    <row r="200" spans="1:4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</row>
    <row r="201" spans="1:4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</row>
    <row r="202" spans="1:4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</row>
    <row r="203" spans="1:4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</row>
    <row r="204" spans="1:4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</row>
    <row r="205" spans="1:4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</row>
    <row r="206" spans="1:4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</row>
    <row r="207" spans="1:4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</row>
    <row r="208" spans="1:4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</row>
    <row r="209" spans="1:4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</row>
    <row r="210" spans="1:4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</row>
    <row r="211" spans="1:4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</row>
    <row r="212" spans="1:4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</row>
    <row r="213" spans="1:4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</row>
    <row r="214" spans="1:4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</row>
    <row r="215" spans="1:4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</row>
    <row r="216" spans="1:4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</row>
    <row r="217" spans="1:4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</row>
    <row r="218" spans="1:4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</row>
    <row r="219" spans="1:4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</row>
    <row r="220" spans="1:4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</row>
    <row r="221" spans="1:4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</row>
    <row r="222" spans="1:4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</row>
    <row r="223" spans="1:4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</row>
    <row r="224" spans="1:4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</row>
    <row r="225" spans="1:4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</row>
    <row r="226" spans="1:4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</row>
    <row r="227" spans="1:4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</row>
    <row r="228" spans="1:4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</row>
    <row r="229" spans="1:4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</row>
    <row r="230" spans="1:4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</row>
    <row r="231" spans="1:4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</row>
    <row r="232" spans="1:4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</row>
    <row r="233" spans="1:4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</row>
    <row r="234" spans="1:4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</row>
    <row r="235" spans="1:4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</row>
    <row r="236" spans="1:4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</row>
    <row r="237" spans="1:4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</row>
    <row r="238" spans="1:4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</row>
    <row r="239" spans="1:4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</row>
    <row r="240" spans="1:4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</row>
    <row r="241" spans="1:4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</row>
    <row r="242" spans="1:4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</row>
    <row r="243" spans="1:4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</row>
    <row r="244" spans="1: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</row>
    <row r="245" spans="1:4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</row>
    <row r="246" spans="1:4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</row>
    <row r="247" spans="1:4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</row>
    <row r="248" spans="1:4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</row>
    <row r="249" spans="1:4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</row>
    <row r="250" spans="1:4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</row>
    <row r="251" spans="1:4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</row>
    <row r="252" spans="1:4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</row>
    <row r="253" spans="1:4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</row>
    <row r="254" spans="1:4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</row>
    <row r="255" spans="1:4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</row>
    <row r="256" spans="1:4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</row>
    <row r="257" spans="1:4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</row>
    <row r="258" spans="1:4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</row>
    <row r="259" spans="1:4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</row>
    <row r="260" spans="1:4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</row>
    <row r="261" spans="1:4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</row>
    <row r="262" spans="1:4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</row>
    <row r="263" spans="1:4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</row>
    <row r="264" spans="1:4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</row>
    <row r="265" spans="1:4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</row>
    <row r="266" spans="1:4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</row>
    <row r="267" spans="1:4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</row>
    <row r="268" spans="1:4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</row>
    <row r="269" spans="1:4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</row>
    <row r="270" spans="1:4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</row>
    <row r="271" spans="1:4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</row>
    <row r="272" spans="1:4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</row>
    <row r="273" spans="1:4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</row>
    <row r="274" spans="1:4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</row>
    <row r="275" spans="1:4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</row>
    <row r="276" spans="1:4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</row>
    <row r="277" spans="1:4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</row>
    <row r="278" spans="1:4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</row>
    <row r="279" spans="1:4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</row>
    <row r="280" spans="1:4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</row>
    <row r="281" spans="1:4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</row>
    <row r="282" spans="1:4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</row>
    <row r="283" spans="1:4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</row>
    <row r="284" spans="1:4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</row>
    <row r="285" spans="1:4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</row>
    <row r="286" spans="1:4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</row>
    <row r="287" spans="1:4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</row>
    <row r="288" spans="1:4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</row>
    <row r="289" spans="1:4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</row>
    <row r="290" spans="1:4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</row>
    <row r="291" spans="1:4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</row>
    <row r="292" spans="1:4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</row>
    <row r="293" spans="1:4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</row>
    <row r="294" spans="1:4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</row>
    <row r="295" spans="1:4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</row>
    <row r="296" spans="1:4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</row>
    <row r="297" spans="1:4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</row>
    <row r="298" spans="1:4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</row>
    <row r="299" spans="1:4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</row>
    <row r="300" spans="1:4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</row>
    <row r="301" spans="1:4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</row>
    <row r="302" spans="1:4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</row>
    <row r="303" spans="1:4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</row>
    <row r="304" spans="1:4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</row>
    <row r="305" spans="1:4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</row>
    <row r="306" spans="1:4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</row>
    <row r="307" spans="1:4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</row>
    <row r="308" spans="1:4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</row>
    <row r="309" spans="1:4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</row>
    <row r="310" spans="1:4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</row>
    <row r="311" spans="1:4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</row>
    <row r="312" spans="1:4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</row>
    <row r="313" spans="1:4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</row>
    <row r="314" spans="1:4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</row>
    <row r="315" spans="1:4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</row>
    <row r="316" spans="1:4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</row>
    <row r="317" spans="1:4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</row>
    <row r="318" spans="1:4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</row>
    <row r="319" spans="1:4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</row>
    <row r="320" spans="1:4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</row>
    <row r="321" spans="1:4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</row>
    <row r="322" spans="1:4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</row>
    <row r="323" spans="1:4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</row>
    <row r="324" spans="1:4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</row>
    <row r="325" spans="1:4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</row>
    <row r="326" spans="1:4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</row>
    <row r="327" spans="1:4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</row>
    <row r="328" spans="1:4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</row>
    <row r="329" spans="1:4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</row>
    <row r="330" spans="1:4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</row>
    <row r="331" spans="1:4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</row>
    <row r="332" spans="1:4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</row>
    <row r="333" spans="1:4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</row>
    <row r="334" spans="1:4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</row>
    <row r="335" spans="1:4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</row>
    <row r="336" spans="1:4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</row>
    <row r="337" spans="1:4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</row>
    <row r="338" spans="1:4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</row>
    <row r="339" spans="1:4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</row>
    <row r="340" spans="1:4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</row>
    <row r="341" spans="1:4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</row>
    <row r="342" spans="1:4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</row>
    <row r="343" spans="1:4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</row>
    <row r="344" spans="1: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</row>
    <row r="345" spans="1:4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</row>
    <row r="346" spans="1:4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</row>
    <row r="347" spans="1:4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</row>
    <row r="348" spans="1:4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</row>
    <row r="349" spans="1:4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</row>
    <row r="350" spans="1:4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</row>
    <row r="351" spans="1:4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</row>
    <row r="352" spans="1:4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</row>
    <row r="353" spans="1:4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</row>
    <row r="354" spans="1:4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</row>
    <row r="355" spans="1:4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</row>
    <row r="356" spans="1:4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</row>
    <row r="357" spans="1:4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</row>
    <row r="358" spans="1:4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</row>
    <row r="359" spans="1:4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</row>
    <row r="360" spans="1:4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</row>
    <row r="361" spans="1:4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</row>
    <row r="362" spans="1:4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</row>
    <row r="363" spans="1:4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</row>
    <row r="364" spans="1:4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</row>
    <row r="365" spans="1:4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</row>
    <row r="366" spans="1:4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</row>
    <row r="367" spans="1:4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</row>
    <row r="368" spans="1:4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</row>
    <row r="369" spans="1:4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</row>
    <row r="370" spans="1:4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</row>
    <row r="371" spans="1:4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</row>
    <row r="372" spans="1:4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</row>
    <row r="373" spans="1:4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</row>
    <row r="374" spans="1:4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</row>
    <row r="375" spans="1:4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</row>
    <row r="376" spans="1:4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</row>
    <row r="377" spans="1:4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</row>
    <row r="378" spans="1:4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</row>
    <row r="379" spans="1:4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</row>
    <row r="380" spans="1:4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</row>
    <row r="381" spans="1:4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</row>
    <row r="382" spans="1:4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</row>
    <row r="383" spans="1:4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</row>
    <row r="384" spans="1:4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</row>
    <row r="385" spans="1:4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</row>
    <row r="386" spans="1:4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</row>
    <row r="387" spans="1:4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</row>
    <row r="388" spans="1:4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</row>
    <row r="389" spans="1:4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</row>
    <row r="390" spans="1:4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</row>
    <row r="391" spans="1:4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</row>
    <row r="392" spans="1:4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</row>
    <row r="393" spans="1:4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</row>
    <row r="394" spans="1:4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</row>
    <row r="395" spans="1:4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</row>
    <row r="396" spans="1:4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</row>
    <row r="397" spans="1:4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</row>
    <row r="398" spans="1:4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</row>
    <row r="399" spans="1:4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</row>
    <row r="400" spans="1:4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</row>
    <row r="401" spans="1:4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</row>
    <row r="402" spans="1:4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</row>
    <row r="403" spans="1:4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</row>
    <row r="404" spans="1:4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</row>
    <row r="405" spans="1:4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</row>
    <row r="406" spans="1:4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</row>
    <row r="407" spans="1:4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</row>
    <row r="408" spans="1:4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</row>
    <row r="409" spans="1:4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</row>
    <row r="410" spans="1:4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</row>
    <row r="411" spans="1:4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</row>
    <row r="412" spans="1:4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</row>
    <row r="413" spans="1:4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</row>
    <row r="414" spans="1:4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</row>
    <row r="415" spans="1:4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</row>
    <row r="416" spans="1:4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</row>
    <row r="417" spans="1:4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</row>
    <row r="418" spans="1:4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</row>
    <row r="419" spans="1:4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</row>
    <row r="420" spans="1:4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</row>
    <row r="421" spans="1:4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</row>
    <row r="422" spans="1:4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</row>
    <row r="423" spans="1:4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</row>
    <row r="424" spans="1:4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</row>
    <row r="425" spans="1:4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</row>
    <row r="426" spans="1:4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</row>
    <row r="427" spans="1:4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</row>
    <row r="428" spans="1:4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</row>
    <row r="429" spans="1:4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</row>
    <row r="430" spans="1:4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</row>
    <row r="431" spans="1:4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</row>
    <row r="432" spans="1:4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</row>
    <row r="433" spans="1:4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</row>
    <row r="434" spans="1:4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</row>
    <row r="435" spans="1:4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</row>
    <row r="436" spans="1:4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</row>
    <row r="437" spans="1:4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</row>
    <row r="438" spans="1:4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</row>
    <row r="439" spans="1:4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</row>
    <row r="440" spans="1:4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</row>
    <row r="441" spans="1:4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</row>
    <row r="442" spans="1:4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</row>
    <row r="443" spans="1:4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</row>
    <row r="444" spans="1: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</row>
    <row r="445" spans="1:4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</row>
    <row r="446" spans="1:4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</row>
    <row r="447" spans="1:4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</row>
    <row r="448" spans="1:4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</row>
    <row r="449" spans="1:4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</row>
    <row r="450" spans="1:4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</row>
    <row r="451" spans="1:4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</row>
    <row r="452" spans="1:4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</row>
    <row r="453" spans="1:4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</row>
    <row r="454" spans="1:4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</row>
    <row r="455" spans="1:4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</row>
    <row r="456" spans="1:4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</row>
    <row r="457" spans="1:4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</row>
    <row r="458" spans="1:4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</row>
    <row r="459" spans="1:4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</row>
    <row r="460" spans="1:4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</row>
    <row r="461" spans="1:4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</row>
    <row r="462" spans="1:4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</row>
    <row r="463" spans="1:4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</row>
    <row r="464" spans="1:4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</row>
    <row r="465" spans="1:4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</row>
    <row r="466" spans="1:4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</row>
    <row r="467" spans="1:4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</row>
    <row r="468" spans="1:4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</row>
    <row r="469" spans="1:4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</row>
    <row r="470" spans="1:4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</row>
    <row r="471" spans="1:4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</row>
    <row r="472" spans="1:4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</row>
    <row r="473" spans="1:4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</row>
    <row r="474" spans="1:4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</row>
    <row r="475" spans="1:4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</row>
    <row r="476" spans="1:4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</row>
    <row r="477" spans="1:4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</row>
    <row r="478" spans="1:4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</row>
    <row r="479" spans="1:4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</row>
    <row r="480" spans="1:4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</row>
    <row r="481" spans="1:4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</row>
    <row r="482" spans="1:4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</row>
    <row r="483" spans="1:4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</row>
    <row r="484" spans="1:4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</row>
    <row r="485" spans="1:4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</row>
    <row r="486" spans="1:4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</row>
    <row r="487" spans="1:4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</row>
    <row r="488" spans="1:4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</row>
    <row r="489" spans="1:4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</row>
    <row r="490" spans="1:4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</row>
    <row r="491" spans="1:4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</row>
    <row r="492" spans="1:4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</row>
    <row r="493" spans="1:4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</row>
    <row r="494" spans="1:4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</row>
    <row r="495" spans="1:4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</row>
    <row r="496" spans="1:4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</row>
    <row r="497" spans="1:4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</row>
    <row r="498" spans="1:4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</row>
    <row r="499" spans="1:4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</row>
    <row r="500" spans="1:4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</row>
    <row r="501" spans="1:4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</row>
    <row r="502" spans="1:4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</row>
    <row r="503" spans="1:4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</row>
    <row r="504" spans="1:4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</row>
    <row r="505" spans="1:4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</row>
    <row r="506" spans="1:4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</row>
    <row r="507" spans="1:4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</row>
    <row r="508" spans="1:4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</row>
    <row r="509" spans="1:4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</row>
    <row r="510" spans="1:4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</row>
    <row r="511" spans="1:4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</row>
    <row r="512" spans="1:4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</row>
    <row r="513" spans="1:4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</row>
    <row r="514" spans="1:4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</row>
    <row r="515" spans="1:4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</row>
    <row r="516" spans="1:4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</row>
    <row r="517" spans="1:4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</row>
    <row r="518" spans="1:4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</row>
    <row r="519" spans="1:4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</row>
    <row r="520" spans="1:4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</row>
    <row r="521" spans="1:4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</row>
    <row r="522" spans="1:4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</row>
    <row r="523" spans="1:4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</row>
    <row r="524" spans="1:4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</row>
    <row r="525" spans="1:4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</row>
    <row r="526" spans="1:4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</row>
    <row r="527" spans="1:4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</row>
    <row r="528" spans="1:4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</row>
    <row r="529" spans="1:4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</row>
    <row r="530" spans="1:4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</row>
    <row r="531" spans="1:4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</row>
    <row r="532" spans="1:4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</row>
    <row r="533" spans="1:4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</row>
    <row r="534" spans="1:4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</row>
    <row r="535" spans="1:4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</row>
    <row r="536" spans="1:4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</row>
    <row r="537" spans="1:4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</row>
    <row r="538" spans="1:4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</row>
    <row r="539" spans="1:4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</row>
    <row r="540" spans="1:4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</row>
    <row r="541" spans="1:4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</row>
    <row r="542" spans="1:4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</row>
    <row r="543" spans="1:4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</row>
    <row r="544" spans="1: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</row>
    <row r="545" spans="1:4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</row>
    <row r="546" spans="1:4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</row>
    <row r="547" spans="1:4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</row>
    <row r="548" spans="1:4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</row>
    <row r="549" spans="1:4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</row>
    <row r="550" spans="1:4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</row>
    <row r="551" spans="1:4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</row>
    <row r="552" spans="1:4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</row>
    <row r="553" spans="1:4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</row>
    <row r="554" spans="1:4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</row>
    <row r="555" spans="1:4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</row>
    <row r="556" spans="1:4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</row>
    <row r="557" spans="1:4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</row>
    <row r="558" spans="1:4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</row>
    <row r="559" spans="1:4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</row>
    <row r="560" spans="1:4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</row>
    <row r="561" spans="1:4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</row>
    <row r="562" spans="1:4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</row>
    <row r="563" spans="1:4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</row>
    <row r="564" spans="1:4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</row>
    <row r="565" spans="1:4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</row>
    <row r="566" spans="1:4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</row>
    <row r="567" spans="1:4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</row>
    <row r="568" spans="1:4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</row>
    <row r="569" spans="1:4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</row>
    <row r="570" spans="1:4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</row>
    <row r="571" spans="1:4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</row>
    <row r="572" spans="1:4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</row>
    <row r="573" spans="1:4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</row>
    <row r="574" spans="1:4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</row>
    <row r="575" spans="1:4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</row>
    <row r="576" spans="1:4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</row>
    <row r="577" spans="1:4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</row>
    <row r="578" spans="1:4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</row>
    <row r="579" spans="1:4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</row>
    <row r="580" spans="1:4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</row>
    <row r="581" spans="1:4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</row>
    <row r="582" spans="1:4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</row>
    <row r="583" spans="1:4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</row>
    <row r="584" spans="1:4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</row>
    <row r="585" spans="1:4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</row>
    <row r="586" spans="1:4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</row>
    <row r="587" spans="1:4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</row>
    <row r="588" spans="1:4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</row>
    <row r="589" spans="1:4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</row>
    <row r="590" spans="1:4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</row>
    <row r="591" spans="1:4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</row>
    <row r="592" spans="1:4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</row>
    <row r="593" spans="1:4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</row>
    <row r="594" spans="1:4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</row>
    <row r="595" spans="1:4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</row>
    <row r="596" spans="1:4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</row>
    <row r="597" spans="1:4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</row>
    <row r="598" spans="1:4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</row>
    <row r="599" spans="1:4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</row>
    <row r="600" spans="1:4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</row>
    <row r="601" spans="1:4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</row>
    <row r="602" spans="1:4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</row>
    <row r="603" spans="1:4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</row>
    <row r="604" spans="1:4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</row>
    <row r="605" spans="1:4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</row>
    <row r="606" spans="1:4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</row>
    <row r="607" spans="1:4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</row>
    <row r="608" spans="1:4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</row>
    <row r="609" spans="1:4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</row>
    <row r="610" spans="1:4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</row>
    <row r="611" spans="1:4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</row>
    <row r="612" spans="1:4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</row>
    <row r="613" spans="1:4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</row>
    <row r="614" spans="1:4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</row>
    <row r="615" spans="1:4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</row>
    <row r="616" spans="1:4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</row>
    <row r="617" spans="1:4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</row>
    <row r="618" spans="1:4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</row>
    <row r="619" spans="1:4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</row>
    <row r="620" spans="1:4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</row>
    <row r="621" spans="1:4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</row>
    <row r="622" spans="1:4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</row>
    <row r="623" spans="1:4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</row>
    <row r="624" spans="1:4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</row>
    <row r="625" spans="1:4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</row>
    <row r="626" spans="1:4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</row>
    <row r="627" spans="1:4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</row>
    <row r="628" spans="1:4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</row>
    <row r="629" spans="1:4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</row>
    <row r="630" spans="1:4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</row>
    <row r="631" spans="1:4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</row>
    <row r="632" spans="1:4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</row>
    <row r="633" spans="1:4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</row>
    <row r="634" spans="1:4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</row>
    <row r="635" spans="1:4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</row>
    <row r="636" spans="1:4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</row>
    <row r="637" spans="1:4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</row>
    <row r="638" spans="1:4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</row>
    <row r="639" spans="1:4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</row>
    <row r="640" spans="1:4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</row>
    <row r="641" spans="1:4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</row>
    <row r="642" spans="1:4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</row>
    <row r="643" spans="1:4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</row>
    <row r="644" spans="1: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</row>
    <row r="645" spans="1:4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</row>
    <row r="646" spans="1:4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</row>
    <row r="647" spans="1:4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</row>
    <row r="648" spans="1:4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</row>
    <row r="649" spans="1:4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</row>
    <row r="650" spans="1:4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</row>
    <row r="651" spans="1:4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</row>
    <row r="652" spans="1:4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</row>
    <row r="653" spans="1:4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</row>
    <row r="654" spans="1:4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</row>
    <row r="655" spans="1:4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</row>
    <row r="656" spans="1:4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</row>
    <row r="657" spans="1:4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</row>
    <row r="658" spans="1:4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</row>
    <row r="659" spans="1:4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</row>
    <row r="660" spans="1:4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</row>
    <row r="661" spans="1:4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</row>
    <row r="662" spans="1:4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</row>
    <row r="663" spans="1:4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</row>
    <row r="664" spans="1:4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</row>
    <row r="665" spans="1:4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</row>
    <row r="666" spans="1:4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</row>
    <row r="667" spans="1:4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</row>
    <row r="668" spans="1:4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</row>
    <row r="669" spans="1:4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</row>
    <row r="670" spans="1:4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</row>
    <row r="671" spans="1:4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</row>
    <row r="672" spans="1:4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</row>
    <row r="673" spans="1:4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</row>
    <row r="674" spans="1:4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</row>
    <row r="675" spans="1:4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</row>
    <row r="676" spans="1:4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</row>
    <row r="677" spans="1:4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</row>
    <row r="678" spans="1:4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</row>
    <row r="679" spans="1:4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</row>
    <row r="680" spans="1:4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</row>
    <row r="681" spans="1:4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</row>
    <row r="682" spans="1:4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</row>
    <row r="683" spans="1:4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</row>
    <row r="684" spans="1:4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</row>
    <row r="685" spans="1:4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</row>
    <row r="686" spans="1:4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</row>
    <row r="687" spans="1:4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</row>
    <row r="688" spans="1:4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</row>
    <row r="689" spans="1:4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</row>
    <row r="690" spans="1:4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</row>
    <row r="691" spans="1:4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</row>
    <row r="692" spans="1:4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</row>
    <row r="693" spans="1:4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</row>
    <row r="694" spans="1:4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</row>
    <row r="695" spans="1:4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</row>
    <row r="696" spans="1:4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</row>
    <row r="697" spans="1:4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</row>
    <row r="698" spans="1:4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</row>
    <row r="699" spans="1:4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</row>
    <row r="700" spans="1:4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</row>
    <row r="701" spans="1:4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</row>
    <row r="702" spans="1:4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</row>
    <row r="703" spans="1:4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</row>
    <row r="704" spans="1:4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</row>
    <row r="705" spans="1:4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</row>
    <row r="706" spans="1:4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</row>
    <row r="707" spans="1:4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</row>
    <row r="708" spans="1:4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</row>
    <row r="709" spans="1:4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</row>
    <row r="710" spans="1:4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</row>
    <row r="711" spans="1:4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</row>
    <row r="712" spans="1:4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</row>
    <row r="713" spans="1:4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</row>
    <row r="714" spans="1:4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</row>
    <row r="715" spans="1:4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</row>
    <row r="716" spans="1:4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</row>
    <row r="717" spans="1:4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</row>
    <row r="718" spans="1:4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</row>
    <row r="719" spans="1:4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</row>
    <row r="720" spans="1:4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</row>
    <row r="721" spans="1:4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</row>
    <row r="722" spans="1:4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</row>
    <row r="723" spans="1:4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</row>
    <row r="724" spans="1:4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</row>
    <row r="725" spans="1:4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</row>
    <row r="726" spans="1:4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</row>
    <row r="727" spans="1:4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</row>
    <row r="728" spans="1:4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</row>
    <row r="729" spans="1:4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</row>
    <row r="730" spans="1:4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</row>
    <row r="731" spans="1:4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</row>
    <row r="732" spans="1:4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</row>
    <row r="733" spans="1:4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</row>
    <row r="734" spans="1:4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</row>
    <row r="735" spans="1:4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</row>
    <row r="736" spans="1:4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</row>
    <row r="737" spans="1:4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</row>
    <row r="738" spans="1:4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</row>
    <row r="739" spans="1:4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</row>
    <row r="740" spans="1:4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</row>
    <row r="741" spans="1:4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</row>
    <row r="742" spans="1:4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</row>
    <row r="743" spans="1:4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</row>
    <row r="744" spans="1: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</row>
    <row r="745" spans="1:4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</row>
    <row r="746" spans="1:4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</row>
    <row r="747" spans="1:4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</row>
    <row r="748" spans="1:4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</row>
    <row r="749" spans="1:4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</row>
    <row r="750" spans="1:4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</row>
    <row r="751" spans="1:4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</row>
    <row r="752" spans="1:4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</row>
    <row r="753" spans="1:4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</row>
    <row r="754" spans="1:4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</row>
    <row r="755" spans="1:4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</row>
    <row r="756" spans="1:4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</row>
    <row r="757" spans="1:4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</row>
    <row r="758" spans="1:4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</row>
    <row r="759" spans="1:4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</row>
    <row r="760" spans="1:4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</row>
    <row r="761" spans="1:4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</row>
    <row r="762" spans="1:4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</row>
    <row r="763" spans="1:4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</row>
    <row r="764" spans="1:4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</row>
    <row r="765" spans="1:4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</row>
    <row r="766" spans="1:4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</row>
    <row r="767" spans="1:4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</row>
    <row r="768" spans="1:4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</row>
    <row r="769" spans="1:4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</row>
    <row r="770" spans="1:4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</row>
    <row r="771" spans="1:4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</row>
    <row r="772" spans="1:4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</row>
    <row r="773" spans="1:4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</row>
    <row r="774" spans="1:4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</row>
    <row r="775" spans="1:4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</row>
    <row r="776" spans="1:4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</row>
    <row r="777" spans="1:4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</row>
    <row r="778" spans="1:4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</row>
    <row r="779" spans="1:4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</row>
    <row r="780" spans="1:4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</row>
    <row r="781" spans="1:4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</row>
    <row r="782" spans="1:4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</row>
    <row r="783" spans="1:4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</row>
    <row r="784" spans="1:4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</row>
    <row r="785" spans="1:4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</row>
    <row r="786" spans="1:4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</row>
    <row r="787" spans="1:4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</row>
    <row r="788" spans="1:4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</row>
    <row r="789" spans="1:4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</row>
    <row r="790" spans="1:4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</row>
    <row r="791" spans="1:4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</row>
    <row r="792" spans="1:4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</row>
    <row r="793" spans="1:4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</row>
    <row r="794" spans="1:4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</row>
    <row r="795" spans="1:4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</row>
    <row r="796" spans="1:4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</row>
    <row r="797" spans="1:4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</row>
    <row r="798" spans="1:4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</row>
    <row r="799" spans="1:4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</row>
    <row r="800" spans="1:4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</row>
    <row r="801" spans="1:4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</row>
    <row r="802" spans="1:4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</row>
    <row r="803" spans="1:4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</row>
    <row r="804" spans="1:4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</row>
    <row r="805" spans="1:4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</row>
    <row r="806" spans="1:4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</row>
    <row r="807" spans="1:4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</row>
    <row r="808" spans="1:4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</row>
    <row r="809" spans="1:4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</row>
    <row r="810" spans="1:4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</row>
    <row r="811" spans="1:4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</row>
    <row r="812" spans="1:4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</row>
    <row r="813" spans="1:4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</row>
    <row r="814" spans="1:4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</row>
    <row r="815" spans="1:4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</row>
    <row r="816" spans="1:4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</row>
    <row r="817" spans="1:4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</row>
    <row r="818" spans="1:4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</row>
    <row r="819" spans="1:4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</row>
    <row r="820" spans="1:4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</row>
    <row r="821" spans="1:4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</row>
    <row r="822" spans="1:4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</row>
    <row r="823" spans="1:4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</row>
    <row r="824" spans="1:4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</row>
    <row r="825" spans="1:4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</row>
    <row r="826" spans="1:4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</row>
    <row r="827" spans="1:4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</row>
    <row r="828" spans="1:4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</row>
    <row r="829" spans="1:4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</row>
    <row r="830" spans="1:4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</row>
    <row r="831" spans="1:4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</row>
    <row r="832" spans="1:4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</row>
    <row r="833" spans="1:4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</row>
    <row r="834" spans="1:4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</row>
    <row r="835" spans="1:4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</row>
    <row r="836" spans="1:4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</row>
    <row r="837" spans="1:4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</row>
    <row r="838" spans="1:4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</row>
    <row r="839" spans="1:4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</row>
    <row r="840" spans="1:4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</row>
    <row r="841" spans="1:4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</row>
    <row r="842" spans="1:4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</row>
    <row r="843" spans="1:4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</row>
    <row r="844" spans="1: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</row>
    <row r="845" spans="1:4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</row>
    <row r="846" spans="1:4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</row>
    <row r="847" spans="1:4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</row>
    <row r="848" spans="1:4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</row>
    <row r="849" spans="1:4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</row>
    <row r="850" spans="1:4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</row>
    <row r="851" spans="1:4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</row>
    <row r="852" spans="1:4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</row>
    <row r="853" spans="1:4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</row>
    <row r="854" spans="1:4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</row>
    <row r="855" spans="1:4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</row>
    <row r="856" spans="1:4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</row>
    <row r="857" spans="1:4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</row>
    <row r="858" spans="1:4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</row>
    <row r="859" spans="1:4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</row>
    <row r="860" spans="1:4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</row>
    <row r="861" spans="1:4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</row>
    <row r="862" spans="1:4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</row>
    <row r="863" spans="1:4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</row>
    <row r="864" spans="1:4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</row>
    <row r="865" spans="1:4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</row>
    <row r="866" spans="1:4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</row>
    <row r="867" spans="1:4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</row>
    <row r="868" spans="1:4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</row>
    <row r="869" spans="1:4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</row>
    <row r="870" spans="1:4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</row>
    <row r="871" spans="1:4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</row>
    <row r="872" spans="1:4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</row>
    <row r="873" spans="1:4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</row>
    <row r="874" spans="1:4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</row>
    <row r="875" spans="1:4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</row>
    <row r="876" spans="1:4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</row>
    <row r="877" spans="1:4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</row>
    <row r="878" spans="1:4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</row>
    <row r="879" spans="1:4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</row>
    <row r="880" spans="1:4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</row>
    <row r="881" spans="1:4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</row>
    <row r="882" spans="1:4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</row>
    <row r="883" spans="1:4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</row>
    <row r="884" spans="1:4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</row>
    <row r="885" spans="1:4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</row>
    <row r="886" spans="1:4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</row>
    <row r="887" spans="1:4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</row>
    <row r="888" spans="1:4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</row>
    <row r="889" spans="1:4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</row>
    <row r="890" spans="1:4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</row>
    <row r="891" spans="1:4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</row>
    <row r="892" spans="1:4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</row>
    <row r="893" spans="1:4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</row>
    <row r="894" spans="1:4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</row>
    <row r="895" spans="1:4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</row>
    <row r="896" spans="1:4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</row>
    <row r="897" spans="1:4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</row>
    <row r="898" spans="1:4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</row>
    <row r="899" spans="1:4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</row>
    <row r="900" spans="1:4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</row>
    <row r="901" spans="1:4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</row>
    <row r="902" spans="1:4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</row>
    <row r="903" spans="1:4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</row>
    <row r="904" spans="1:4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</row>
    <row r="905" spans="1:4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</row>
    <row r="906" spans="1:4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</row>
    <row r="907" spans="1:4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</row>
    <row r="908" spans="1:4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</row>
    <row r="909" spans="1:4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</row>
    <row r="910" spans="1:4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</row>
    <row r="911" spans="1:4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</row>
    <row r="912" spans="1:4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</row>
    <row r="913" spans="1:4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</row>
    <row r="914" spans="1:4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</row>
    <row r="915" spans="1:4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</row>
    <row r="916" spans="1:4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</row>
    <row r="917" spans="1:4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</row>
    <row r="918" spans="1:4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</row>
    <row r="919" spans="1:4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</row>
    <row r="920" spans="1:4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</row>
    <row r="921" spans="1:4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</row>
    <row r="922" spans="1:4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</row>
    <row r="923" spans="1:4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</row>
    <row r="924" spans="1:4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</row>
    <row r="925" spans="1:4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</row>
    <row r="926" spans="1:4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</row>
    <row r="927" spans="1:4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</row>
    <row r="928" spans="1:4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</row>
    <row r="929" spans="1:4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</row>
    <row r="930" spans="1:4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</row>
    <row r="931" spans="1:4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</row>
    <row r="932" spans="1:4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</row>
    <row r="933" spans="1:4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</row>
    <row r="934" spans="1:4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</row>
    <row r="935" spans="1:4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</row>
    <row r="936" spans="1:4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</row>
    <row r="937" spans="1:4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</row>
    <row r="938" spans="1:4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</row>
    <row r="939" spans="1:4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</row>
    <row r="940" spans="1:4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</row>
    <row r="941" spans="1:4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</row>
    <row r="942" spans="1:4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</row>
    <row r="943" spans="1:4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</row>
    <row r="944" spans="1: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</row>
    <row r="945" spans="1:4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</row>
    <row r="946" spans="1:4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</row>
    <row r="947" spans="1:4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</row>
    <row r="948" spans="1:4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</row>
    <row r="949" spans="1:4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</row>
    <row r="950" spans="1:4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</row>
    <row r="951" spans="1:4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</row>
    <row r="952" spans="1:4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</row>
    <row r="953" spans="1:4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</row>
    <row r="954" spans="1:4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</row>
    <row r="955" spans="1:4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</row>
    <row r="956" spans="1:4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</row>
    <row r="957" spans="1:4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</row>
    <row r="958" spans="1:4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</row>
    <row r="959" spans="1:4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</row>
    <row r="960" spans="1:4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</row>
    <row r="961" spans="1:4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</row>
    <row r="962" spans="1:4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</row>
    <row r="963" spans="1:4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</row>
    <row r="964" spans="1:4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</row>
    <row r="965" spans="1:4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</row>
    <row r="966" spans="1:4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</row>
    <row r="967" spans="1:4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</row>
    <row r="968" spans="1:4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</row>
    <row r="969" spans="1:4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</row>
    <row r="970" spans="1:4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</row>
    <row r="971" spans="1:4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</row>
    <row r="972" spans="1:4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</row>
    <row r="973" spans="1:4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</row>
    <row r="974" spans="1:4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</row>
    <row r="975" spans="1:4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</row>
    <row r="976" spans="1:4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</row>
    <row r="977" spans="1:4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</row>
    <row r="978" spans="1:4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</row>
    <row r="979" spans="1:4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</row>
    <row r="980" spans="1:4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</row>
    <row r="981" spans="1:4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</row>
    <row r="982" spans="1:4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</row>
    <row r="983" spans="1:4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</row>
    <row r="984" spans="1:4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</row>
    <row r="985" spans="1:4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</row>
    <row r="986" spans="1:4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</row>
    <row r="987" spans="1:4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</row>
    <row r="988" spans="1:4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</row>
    <row r="989" spans="1:4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</row>
    <row r="990" spans="1:4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</row>
    <row r="991" spans="1:4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</row>
    <row r="992" spans="1:4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</row>
    <row r="993" spans="1:4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</row>
    <row r="994" spans="1:4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</row>
    <row r="995" spans="1:4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</row>
    <row r="996" spans="1:4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</row>
    <row r="997" spans="1:4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</row>
    <row r="998" spans="1:4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</row>
    <row r="999" spans="1:4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</row>
    <row r="1000" spans="1:4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</row>
    <row r="1001" spans="1:44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</row>
    <row r="1002" spans="1:44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</row>
    <row r="1003" spans="1:44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</row>
    <row r="1004" spans="1:4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</row>
    <row r="1005" spans="1:44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</row>
    <row r="1006" spans="1:44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</row>
    <row r="1007" spans="1:44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</row>
    <row r="1008" spans="1:44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</row>
    <row r="1009" spans="1:44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</row>
    <row r="1010" spans="1:44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</row>
    <row r="1011" spans="1:44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</row>
    <row r="1012" spans="1:44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</row>
    <row r="1013" spans="1:44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</row>
    <row r="1014" spans="1:4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</row>
    <row r="1015" spans="1:44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</row>
    <row r="1016" spans="1:44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</row>
    <row r="1017" spans="1:44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</row>
    <row r="1018" spans="1:44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</row>
    <row r="1019" spans="1:44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</row>
    <row r="1020" spans="1:44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</row>
    <row r="1021" spans="1:44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</row>
    <row r="1022" spans="1:44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</row>
    <row r="1023" spans="1:44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</row>
    <row r="1024" spans="1:4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</row>
    <row r="1025" spans="1:44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</row>
    <row r="1026" spans="1:44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</row>
    <row r="1027" spans="1:44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</row>
    <row r="1028" spans="1:44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</row>
    <row r="1029" spans="1:44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</row>
    <row r="1030" spans="1:44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</row>
    <row r="1031" spans="1:44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</row>
    <row r="1032" spans="1:44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</row>
    <row r="1033" spans="1:44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</row>
    <row r="1034" spans="1:4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</row>
    <row r="1035" spans="1:44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</row>
    <row r="1036" spans="1:44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</row>
    <row r="1037" spans="1:44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</row>
    <row r="1038" spans="1:44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</row>
    <row r="1039" spans="1:44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</row>
    <row r="1040" spans="1:44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</row>
  </sheetData>
  <mergeCells count="76">
    <mergeCell ref="AB105:AB106"/>
    <mergeCell ref="AC105:AC106"/>
    <mergeCell ref="AD105:AD106"/>
    <mergeCell ref="AE105:AE106"/>
    <mergeCell ref="V105:V106"/>
    <mergeCell ref="W105:W106"/>
    <mergeCell ref="X105:X106"/>
    <mergeCell ref="Y105:Y106"/>
    <mergeCell ref="Z105:Z106"/>
    <mergeCell ref="AA105:AA106"/>
    <mergeCell ref="P105:P106"/>
    <mergeCell ref="Q105:Q106"/>
    <mergeCell ref="R105:R106"/>
    <mergeCell ref="S105:S106"/>
    <mergeCell ref="T105:T106"/>
    <mergeCell ref="U105:U106"/>
    <mergeCell ref="J105:J106"/>
    <mergeCell ref="K105:K106"/>
    <mergeCell ref="L105:L106"/>
    <mergeCell ref="M105:M106"/>
    <mergeCell ref="N105:N106"/>
    <mergeCell ref="O105:O106"/>
    <mergeCell ref="C103:C106"/>
    <mergeCell ref="D103:D106"/>
    <mergeCell ref="E103:AE103"/>
    <mergeCell ref="E104:Y104"/>
    <mergeCell ref="Z104:AE104"/>
    <mergeCell ref="E105:E106"/>
    <mergeCell ref="F105:F106"/>
    <mergeCell ref="G105:G106"/>
    <mergeCell ref="H105:H106"/>
    <mergeCell ref="I105:I106"/>
    <mergeCell ref="Y5:Y6"/>
    <mergeCell ref="Z5:Z6"/>
    <mergeCell ref="AA5:AA6"/>
    <mergeCell ref="AB5:AB6"/>
    <mergeCell ref="AC5:AE5"/>
    <mergeCell ref="AF5:AH5"/>
    <mergeCell ref="S5:S6"/>
    <mergeCell ref="T5:T6"/>
    <mergeCell ref="U5:U6"/>
    <mergeCell ref="V5:V6"/>
    <mergeCell ref="W5:W6"/>
    <mergeCell ref="X5:X6"/>
    <mergeCell ref="M5:M6"/>
    <mergeCell ref="N5:N6"/>
    <mergeCell ref="O5:O6"/>
    <mergeCell ref="P5:P6"/>
    <mergeCell ref="Q5:Q6"/>
    <mergeCell ref="R5:R6"/>
    <mergeCell ref="C5:C6"/>
    <mergeCell ref="D5:D6"/>
    <mergeCell ref="E5:E6"/>
    <mergeCell ref="F5:F6"/>
    <mergeCell ref="G5:G6"/>
    <mergeCell ref="H5:H6"/>
    <mergeCell ref="AM3:AM5"/>
    <mergeCell ref="AN3:AO3"/>
    <mergeCell ref="AP3:AP5"/>
    <mergeCell ref="AQ3:AQ5"/>
    <mergeCell ref="E4:Y4"/>
    <mergeCell ref="Z4:AI4"/>
    <mergeCell ref="I5:I6"/>
    <mergeCell ref="J5:J6"/>
    <mergeCell ref="K5:K6"/>
    <mergeCell ref="L5:L6"/>
    <mergeCell ref="A1:C1"/>
    <mergeCell ref="D1:AO1"/>
    <mergeCell ref="AP1:AQ1"/>
    <mergeCell ref="A2:AL2"/>
    <mergeCell ref="A3:A6"/>
    <mergeCell ref="B3:B6"/>
    <mergeCell ref="C3:AI3"/>
    <mergeCell ref="AJ3:AJ5"/>
    <mergeCell ref="AK3:AK5"/>
    <mergeCell ref="AL3:AL5"/>
  </mergeCells>
  <conditionalFormatting sqref="C5:AI5 AN5:AO5 AR5 E105:Y105">
    <cfRule type="notContainsBlanks" dxfId="0" priority="1">
      <formula>LEN(TRIM(C5))&gt;0</formula>
    </cfRule>
  </conditionalFormatting>
  <dataValidations count="3">
    <dataValidation type="list" allowBlank="1" showErrorMessage="1" sqref="AK22" xr:uid="{4E1AF07D-1BA1-4732-9812-6E056D60BB2A}">
      <formula1>"Dương,Huyền,Quyên,Lâm,Tuấn,Chí,V Phương,Đ Phương,Nhân"</formula1>
    </dataValidation>
    <dataValidation type="list" allowBlank="1" showErrorMessage="1" sqref="AK7:AK21 AK23:AK100" xr:uid="{6524B80C-0ABB-47F7-800F-AD813154FE4C}">
      <formula1>"Dương,Huyền,Quyên,Lâm,Tuấn,Chí,V Phương,Đ Phương,Nhân,Hiệp,Ly"</formula1>
    </dataValidation>
    <dataValidation type="list" allowBlank="1" showErrorMessage="1" sqref="B7:B100" xr:uid="{E16C88A4-71C4-417F-A826-97920B9FA596}">
      <formula1>"BAN BVSK,CC115,CĐHA,CNTT,CSGN,CTXH,CĐT,CXK,DA LIỄU ,DINH DƯỠNG,ĐÔNG Y,DƯỢC,GĐYK,GPB,HCQT,HHLS,HSTC,HTL,KB,KHTH,KSNK,LKTK,MẮT,NGOẠI CT,NGOẠI TH,NGOẠI TKLN,NGOẠI TN,NGOẠI ƯB,NGOẠI XT,NHH,NHI,NỘI TH,PHCN,PTGMHS,QLCL,RHM,TCCB,TCKT,TDCN,THẬN,TMH,TRUYỀN NHIỄM,T"&amp;"TTM,VT,XNTT,Tổng,PHỤ SẢN"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2026-09-07T08:21:57Z</dcterms:created>
  <dcterms:modified xsi:type="dcterms:W3CDTF">2026-09-07T08:22:06Z</dcterms:modified>
</cp:coreProperties>
</file>