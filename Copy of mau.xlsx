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B5BA1F0D-ABE7-4705-9B5A-0CB80FE764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4" i="1" l="1"/>
</calcChain>
</file>

<file path=xl/sharedStrings.xml><?xml version="1.0" encoding="utf-8"?>
<sst xmlns="http://schemas.openxmlformats.org/spreadsheetml/2006/main" count="292" uniqueCount="168">
  <si>
    <t>Xoá CLS, PTTT</t>
  </si>
  <si>
    <t>Ép thẻ BH</t>
  </si>
  <si>
    <t>Sửa phí, mã QR sang TM và ngược lại</t>
  </si>
  <si>
    <t>Huỷ CKS</t>
  </si>
  <si>
    <t>Huỷ B/án</t>
  </si>
  <si>
    <t>Sửa thông tin BN (NN; Địa chỉ, tuổi, CCCD,.v.v..)
Sửa công khám, sửa kiểu khám</t>
  </si>
  <si>
    <t>Sửa ngày giờ cls; pttt; giờ đọc kết quả; người TH
cập nhật CLS, PTTT, sửa máy cls</t>
  </si>
  <si>
    <t>Sửa mã bệnh kèm theo; bệnh chính</t>
  </si>
  <si>
    <t>Hỗ trợ ký số PM, QLVBĐH</t>
  </si>
  <si>
    <t>Sửa giấy RV, sửa kết thúc ra viện, chuyển tuyến</t>
  </si>
  <si>
    <t>Đăng bài trên website</t>
  </si>
  <si>
    <t>Sửa cách dùng thuốc, ngày giờ thuốc dược, vật tư</t>
  </si>
  <si>
    <t>Phân quyền USER, đổi nick user</t>
  </si>
  <si>
    <t>Lỗi không kết thúc được hồ sơ: tồn thuốc, thuốc chưa đc cấp</t>
  </si>
  <si>
    <t>Sửa ngày giờ, sửa xoá phiếu xuất khác</t>
  </si>
  <si>
    <t>Sửa, xoá ảnh trên pacs.
lỗi không dẩy được chỉ định lên pacs</t>
  </si>
  <si>
    <t>Mở hs ký số bổ sung</t>
  </si>
  <si>
    <t>Sửa xoá giường; cập nhật giường, thêm giường</t>
  </si>
  <si>
    <t>Chuyển thuốc CP- DG</t>
  </si>
  <si>
    <t>Sửa lỗi xuất toán tự động</t>
  </si>
  <si>
    <t>STT</t>
  </si>
  <si>
    <t>KHOA, PHÒNG, TRUNG TÂM</t>
  </si>
  <si>
    <t>Số hồ sơ</t>
  </si>
  <si>
    <t>Số phiếu</t>
  </si>
  <si>
    <t>Vimes Xử Lý</t>
  </si>
  <si>
    <t>KB</t>
  </si>
  <si>
    <t>KHTH</t>
  </si>
  <si>
    <t>PTGMHS</t>
  </si>
  <si>
    <t>THẬN</t>
  </si>
  <si>
    <t>HSTC</t>
  </si>
  <si>
    <t>CXK</t>
  </si>
  <si>
    <t>NHI</t>
  </si>
  <si>
    <t>CC115</t>
  </si>
  <si>
    <t>XNTT</t>
  </si>
  <si>
    <t>CSGN</t>
  </si>
  <si>
    <t>Quy</t>
  </si>
  <si>
    <t>Loan</t>
  </si>
  <si>
    <t>Quyên</t>
  </si>
  <si>
    <t>Hiền</t>
  </si>
  <si>
    <t>Ly</t>
  </si>
  <si>
    <t>Trang</t>
  </si>
  <si>
    <t>NỘI DUNG ĐỀ XUẤT, SỬA CHỮA VÀ BỔ SUNG</t>
  </si>
  <si>
    <t>CÁN BỘ YÊU CẦU SỬA CHỮA</t>
  </si>
  <si>
    <t>CÁN BỘ THỰC HIỆN</t>
  </si>
  <si>
    <t>Phần mềm</t>
  </si>
  <si>
    <t>Phần cứng (chỉ đánh số lượng không ghi nội dung)</t>
  </si>
  <si>
    <t>Đổ mực</t>
  </si>
  <si>
    <t>Cài win</t>
  </si>
  <si>
    <t>Sửa lỗi mạng (ip,sw, dây, card)</t>
  </si>
  <si>
    <t>Sửa máy tính (Linh kiện máy tính)
(1)</t>
  </si>
  <si>
    <t>Sửa máy in
(replace toner, thay linh kiện)
(2)</t>
  </si>
  <si>
    <t>Sửa chữa khác</t>
  </si>
  <si>
    <t>Main, chip</t>
  </si>
  <si>
    <t>Nguồn</t>
  </si>
  <si>
    <t>Ổ cứng</t>
  </si>
  <si>
    <t>Vỏ lụa</t>
  </si>
  <si>
    <t>Lô ép</t>
  </si>
  <si>
    <t>Cảm biến</t>
  </si>
  <si>
    <t>V Phương</t>
  </si>
  <si>
    <t>HCQT</t>
  </si>
  <si>
    <t>Thảo</t>
  </si>
  <si>
    <t>ĐÔNG Y</t>
  </si>
  <si>
    <t>Uyên</t>
  </si>
  <si>
    <t>CĐHA</t>
  </si>
  <si>
    <t>NGOẠI XT</t>
  </si>
  <si>
    <t>Hiển</t>
  </si>
  <si>
    <t>TT/ Khoa Phòng: CNTT</t>
  </si>
  <si>
    <t>BÁO CÁO CÔNG TÁC SỬA CHỮA HÀNG NGÀY PHÒNG CNTT</t>
  </si>
  <si>
    <t>CTXH</t>
  </si>
  <si>
    <t>Nga</t>
  </si>
  <si>
    <t>Dương</t>
  </si>
  <si>
    <t>Khuyên</t>
  </si>
  <si>
    <t>NGOẠI TH</t>
  </si>
  <si>
    <t>Dung</t>
  </si>
  <si>
    <t>TMH</t>
  </si>
  <si>
    <t>26179483; 26179412</t>
  </si>
  <si>
    <t>Hoa</t>
  </si>
  <si>
    <t>TRUYỀN NHIỄM</t>
  </si>
  <si>
    <t>7865373; 74</t>
  </si>
  <si>
    <t>Vui</t>
  </si>
  <si>
    <t>BAN BVSK</t>
  </si>
  <si>
    <t>Bs Xuân</t>
  </si>
  <si>
    <t>26184117; 26184358</t>
  </si>
  <si>
    <t>Yến</t>
  </si>
  <si>
    <t>HTL</t>
  </si>
  <si>
    <t>26183467; 3445; 3428; 3690; 3245; 3232; 3561; 3551; 3487; 3549</t>
  </si>
  <si>
    <t>Update lại mức hưởng BH</t>
  </si>
  <si>
    <t>7866700; 701</t>
  </si>
  <si>
    <t>Bs Trường PK NHH</t>
  </si>
  <si>
    <t>NGOẠI CT</t>
  </si>
  <si>
    <t>Chinh</t>
  </si>
  <si>
    <t>QLCL</t>
  </si>
  <si>
    <t>Xử lý lỗi mất mạng thay 20m dây mạng</t>
  </si>
  <si>
    <t>A Trường</t>
  </si>
  <si>
    <t>Hiệp</t>
  </si>
  <si>
    <t>TTTM</t>
  </si>
  <si>
    <t>26179908; 26179586</t>
  </si>
  <si>
    <t>14745003; 14745629</t>
  </si>
  <si>
    <t>DƯỢC</t>
  </si>
  <si>
    <t>Reset hộp mực</t>
  </si>
  <si>
    <t>Lê Lập</t>
  </si>
  <si>
    <t>26181864; 26180111</t>
  </si>
  <si>
    <t>NGOẠI TKLN</t>
  </si>
  <si>
    <t>C Huyền</t>
  </si>
  <si>
    <t>Vân Anh</t>
  </si>
  <si>
    <t>26184532; 26181760</t>
  </si>
  <si>
    <t>E Yến</t>
  </si>
  <si>
    <t>NGOẠI TN</t>
  </si>
  <si>
    <t>Sâm</t>
  </si>
  <si>
    <t>Thu</t>
  </si>
  <si>
    <t>LKTK</t>
  </si>
  <si>
    <t>Quỳnh</t>
  </si>
  <si>
    <t>Thêm diễn giải vào phiếu chụp XQ</t>
  </si>
  <si>
    <t>Lỗi ko đánh đc thuốc cho BN chuyển từ KB sang</t>
  </si>
  <si>
    <t>Sơn</t>
  </si>
  <si>
    <t>VT</t>
  </si>
  <si>
    <t>Thêm 17 mã máy XN vào PM</t>
  </si>
  <si>
    <t>Thái</t>
  </si>
  <si>
    <t>Bs Nam</t>
  </si>
  <si>
    <t>26185255; 26179914; 26185519; 26185492; 26185255; 26185519; 26178421</t>
  </si>
  <si>
    <t>Sửa nơi ĐK KCB BĐ; sửa mã ĐT KCB; mức hưởng BH</t>
  </si>
  <si>
    <t xml:space="preserve">Nội </t>
  </si>
  <si>
    <t xml:space="preserve">Thêm ngày hẹn khám lại </t>
  </si>
  <si>
    <t>26181790; 26184520</t>
  </si>
  <si>
    <t>Chuyển BN về Trạng thái mở</t>
  </si>
  <si>
    <t>bs Hạnh PK Nội tiết</t>
  </si>
  <si>
    <t>PHỤ SẢN</t>
  </si>
  <si>
    <t>Diệu Linh</t>
  </si>
  <si>
    <t>26177187; 7188</t>
  </si>
  <si>
    <t xml:space="preserve">DA LIỄU </t>
  </si>
  <si>
    <t xml:space="preserve">C Thủy </t>
  </si>
  <si>
    <t>26177729; 26178140; 26177188; 26177187; 26181175</t>
  </si>
  <si>
    <t>Hưng</t>
  </si>
  <si>
    <t>Kết nối máy in qua lan</t>
  </si>
  <si>
    <t>Văn</t>
  </si>
  <si>
    <t>Nhân</t>
  </si>
  <si>
    <t>TCKT</t>
  </si>
  <si>
    <t xml:space="preserve">kết nối POS </t>
  </si>
  <si>
    <t>Nội</t>
  </si>
  <si>
    <t>Bắc</t>
  </si>
  <si>
    <t>MẮT</t>
  </si>
  <si>
    <t>Phương</t>
  </si>
  <si>
    <t>CĐT</t>
  </si>
  <si>
    <t>Hương</t>
  </si>
  <si>
    <t>Luân</t>
  </si>
  <si>
    <t>crack office , lỗi excel</t>
  </si>
  <si>
    <t>Hằng</t>
  </si>
  <si>
    <t>sửa phiếu lọc máu html</t>
  </si>
  <si>
    <t xml:space="preserve">sửa phiếu tử vong </t>
  </si>
  <si>
    <t>dương</t>
  </si>
  <si>
    <t>Tho</t>
  </si>
  <si>
    <t>PHCN</t>
  </si>
  <si>
    <t>mở hoạt động máy laser nội mạch</t>
  </si>
  <si>
    <t>Minh</t>
  </si>
  <si>
    <t>Lâm</t>
  </si>
  <si>
    <t>Thảnh</t>
  </si>
  <si>
    <t>Phân quyền nhìn thấy phụ sản</t>
  </si>
  <si>
    <t>Công, Dư</t>
  </si>
  <si>
    <t>Hạnh</t>
  </si>
  <si>
    <t>Trà My</t>
  </si>
  <si>
    <t>E Sâm</t>
  </si>
  <si>
    <t>Bs Nhung PK N3</t>
  </si>
  <si>
    <t>26182235; 26182341; 26183406; 26182419</t>
  </si>
  <si>
    <t>7870244; 7870309; 7870232; 7870423</t>
  </si>
  <si>
    <t xml:space="preserve">Hạnh </t>
  </si>
  <si>
    <t>26184716; 5435</t>
  </si>
  <si>
    <t>k/n máy in tiếp đón P431</t>
  </si>
  <si>
    <t>lỗi k in đc p101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</si>
</sst>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  <charset val="163"/>
    </font>
    <font>
      <b/>
      <sz val="13"/>
      <color rgb="FFFF0000"/>
      <name val="Times New Roman"/>
      <family val="1"/>
      <charset val="163"/>
    </font>
    <font>
      <b/>
      <sz val="9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18"/>
      <color theme="1"/>
      <name val="Times New Roman"/>
      <family val="1"/>
      <charset val="163"/>
    </font>
    <font>
      <sz val="11"/>
      <color theme="1"/>
      <name val="Times New Roman"/>
    </font>
    <font>
      <sz val="11"/>
      <color rgb="FF081B3A"/>
      <name val="Arial"/>
    </font>
    <font>
      <sz val="11"/>
      <color rgb="FF081B3A"/>
      <name val="SegoeuiPc"/>
    </font>
    <font>
      <sz val="11"/>
      <color rgb="FF081B3A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CE4D6"/>
        <bgColor rgb="FFFCE4D6"/>
      </patternFill>
    </fill>
  </fills>
  <borders count="40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FF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FF0000"/>
      </right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FF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FF0000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00FF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/>
      <top style="medium">
        <color rgb="FF000000"/>
      </top>
      <bottom style="medium">
        <color rgb="FFFF0000"/>
      </bottom>
      <diagonal/>
    </border>
    <border>
      <left/>
      <right/>
      <top style="medium">
        <color rgb="FF00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00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000000"/>
      </top>
      <bottom style="medium">
        <color rgb="FF00FF00"/>
      </bottom>
      <diagonal/>
    </border>
    <border>
      <left/>
      <right/>
      <top style="medium">
        <color rgb="FF000000"/>
      </top>
      <bottom style="medium">
        <color rgb="FF00FF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FF00"/>
      </bottom>
      <diagonal/>
    </border>
    <border>
      <left style="medium">
        <color rgb="FFFF0000"/>
      </left>
      <right style="medium">
        <color rgb="FF00FF00"/>
      </right>
      <top style="medium">
        <color rgb="FF00FF00"/>
      </top>
      <bottom/>
      <diagonal/>
    </border>
    <border>
      <left style="medium">
        <color rgb="FFFF0000"/>
      </left>
      <right style="medium">
        <color rgb="FF00FF00"/>
      </right>
      <top/>
      <bottom style="medium">
        <color rgb="FF00FF00"/>
      </bottom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/>
      <diagonal/>
    </border>
    <border>
      <left style="medium">
        <color rgb="FF00FF00"/>
      </left>
      <right style="medium">
        <color rgb="FF00FF00"/>
      </right>
      <top/>
      <bottom style="medium">
        <color rgb="FF00FF00"/>
      </bottom>
      <diagonal/>
    </border>
    <border>
      <left style="medium">
        <color rgb="FF00FF00"/>
      </left>
      <right/>
      <top style="medium">
        <color rgb="FF00FF00"/>
      </top>
      <bottom style="medium">
        <color rgb="FFFF0000"/>
      </bottom>
      <diagonal/>
    </border>
    <border>
      <left/>
      <right/>
      <top style="medium">
        <color rgb="FF00FF00"/>
      </top>
      <bottom style="medium">
        <color rgb="FFFF0000"/>
      </bottom>
      <diagonal/>
    </border>
    <border>
      <left/>
      <right style="medium">
        <color rgb="FF00FF00"/>
      </right>
      <top style="medium">
        <color rgb="FF00FF00"/>
      </top>
      <bottom style="medium">
        <color rgb="FFFF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7" xfId="0" applyFont="1" applyBorder="1" applyAlignment="1">
      <alignment horizontal="center" wrapText="1"/>
    </xf>
    <xf numFmtId="0" fontId="5" fillId="2" borderId="15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wrapText="1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5" fillId="0" borderId="33" xfId="0" applyFont="1" applyBorder="1" applyAlignment="1">
      <alignment horizontal="center" wrapText="1"/>
    </xf>
    <xf numFmtId="0" fontId="8" fillId="0" borderId="31" xfId="0" applyFont="1" applyBorder="1" applyAlignment="1">
      <alignment horizontal="center" wrapText="1"/>
    </xf>
    <xf numFmtId="0" fontId="8" fillId="0" borderId="32" xfId="0" applyFont="1" applyBorder="1" applyAlignment="1">
      <alignment horizontal="center" wrapText="1"/>
    </xf>
    <xf numFmtId="0" fontId="1" fillId="0" borderId="34" xfId="0" applyFont="1" applyBorder="1" applyAlignment="1">
      <alignment wrapText="1"/>
    </xf>
    <xf numFmtId="0" fontId="1" fillId="0" borderId="35" xfId="0" applyFont="1" applyBorder="1" applyAlignment="1">
      <alignment wrapText="1"/>
    </xf>
    <xf numFmtId="0" fontId="5" fillId="0" borderId="17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wrapText="1"/>
    </xf>
    <xf numFmtId="0" fontId="7" fillId="3" borderId="19" xfId="0" applyFont="1" applyFill="1" applyBorder="1" applyAlignment="1">
      <alignment horizontal="center" wrapText="1"/>
    </xf>
    <xf numFmtId="0" fontId="7" fillId="3" borderId="20" xfId="0" applyFont="1" applyFill="1" applyBorder="1" applyAlignment="1">
      <alignment horizontal="center" wrapText="1"/>
    </xf>
    <xf numFmtId="0" fontId="7" fillId="4" borderId="21" xfId="0" applyFont="1" applyFill="1" applyBorder="1" applyAlignment="1">
      <alignment horizontal="center" wrapText="1"/>
    </xf>
    <xf numFmtId="0" fontId="7" fillId="4" borderId="22" xfId="0" applyFont="1" applyFill="1" applyBorder="1" applyAlignment="1">
      <alignment horizontal="center" wrapText="1"/>
    </xf>
    <xf numFmtId="0" fontId="7" fillId="4" borderId="2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9" fillId="0" borderId="36" xfId="0" applyFont="1" applyBorder="1"/>
    <xf numFmtId="0" fontId="10" fillId="5" borderId="37" xfId="0" applyFont="1" applyFill="1" applyBorder="1"/>
    <xf numFmtId="0" fontId="9" fillId="0" borderId="38" xfId="0" applyFont="1" applyBorder="1"/>
    <xf numFmtId="0" fontId="9" fillId="6" borderId="38" xfId="0" applyFont="1" applyFill="1" applyBorder="1"/>
    <xf numFmtId="0" fontId="9" fillId="7" borderId="38" xfId="0" applyFont="1" applyFill="1" applyBorder="1"/>
    <xf numFmtId="0" fontId="9" fillId="5" borderId="37" xfId="0" applyFont="1" applyFill="1" applyBorder="1"/>
    <xf numFmtId="0" fontId="9" fillId="0" borderId="37" xfId="0" applyFont="1" applyBorder="1"/>
    <xf numFmtId="0" fontId="11" fillId="5" borderId="0" xfId="0" applyFont="1" applyFill="1"/>
    <xf numFmtId="0" fontId="11" fillId="5" borderId="37" xfId="0" applyFont="1" applyFill="1" applyBorder="1"/>
    <xf numFmtId="0" fontId="12" fillId="5" borderId="37" xfId="0" applyFont="1" applyFill="1" applyBorder="1"/>
    <xf numFmtId="0" fontId="9" fillId="0" borderId="39" xfId="0" applyFont="1" applyBorder="1"/>
    <xf numFmtId="0" fontId="9" fillId="6" borderId="39" xfId="0" applyFont="1" applyFill="1" applyBorder="1"/>
    <xf numFmtId="0" fontId="10" fillId="5" borderId="0" xfId="0" applyFont="1" applyFill="1"/>
    <xf numFmtId="3" fontId="9" fillId="0" borderId="37" xfId="0" applyNumberFormat="1" applyFont="1" applyBorder="1"/>
    <xf numFmtId="0" fontId="9" fillId="8" borderId="38" xfId="0" applyFont="1" applyFill="1" applyBorder="1"/>
    <xf numFmtId="0" fontId="12" fillId="5" borderId="0" xfId="0" applyFont="1" applyFill="1"/>
    <xf numFmtId="164" fontId="9" fillId="8" borderId="38" xfId="0" applyNumberFormat="1" applyFont="1" applyFill="1" applyBorder="1"/>
    <xf numFmtId="164" fontId="9" fillId="6" borderId="3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6"/>
  <sheetViews>
    <sheetView tabSelected="1" topLeftCell="J25" zoomScale="69" zoomScaleNormal="69" workbookViewId="0">
      <selection activeCell="B7" sqref="B7:AK96"/>
    </sheetView>
  </sheetViews>
  <sheetFormatPr defaultRowHeight="15" x14ac:dyDescent="0.25"/>
  <cols>
    <col min="35" max="35" width="25.85546875" customWidth="1"/>
  </cols>
  <sheetData>
    <row r="1" spans="1:37" ht="23.25" thickBot="1" x14ac:dyDescent="0.35">
      <c r="A1" s="15" t="s">
        <v>66</v>
      </c>
      <c r="B1" s="16"/>
      <c r="C1" s="17"/>
      <c r="D1" s="18" t="s">
        <v>67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7" ht="15.75" thickBot="1" x14ac:dyDescent="0.3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</row>
    <row r="3" spans="1:37" ht="16.5" customHeight="1" thickBot="1" x14ac:dyDescent="0.3">
      <c r="A3" s="38" t="s">
        <v>20</v>
      </c>
      <c r="B3" s="25" t="s">
        <v>21</v>
      </c>
      <c r="C3" s="22" t="s">
        <v>41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4"/>
      <c r="AJ3" s="25" t="s">
        <v>42</v>
      </c>
      <c r="AK3" s="25" t="s">
        <v>43</v>
      </c>
    </row>
    <row r="4" spans="1:37" ht="19.5" thickBot="1" x14ac:dyDescent="0.35">
      <c r="A4" s="39"/>
      <c r="B4" s="26"/>
      <c r="C4" s="4"/>
      <c r="D4" s="5"/>
      <c r="E4" s="28" t="s">
        <v>44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0"/>
      <c r="Z4" s="31" t="s">
        <v>45</v>
      </c>
      <c r="AA4" s="32"/>
      <c r="AB4" s="32"/>
      <c r="AC4" s="32"/>
      <c r="AD4" s="32"/>
      <c r="AE4" s="32"/>
      <c r="AF4" s="32"/>
      <c r="AG4" s="32"/>
      <c r="AH4" s="32"/>
      <c r="AI4" s="33"/>
      <c r="AJ4" s="26"/>
      <c r="AK4" s="26"/>
    </row>
    <row r="5" spans="1:37" ht="215.25" customHeight="1" thickBot="1" x14ac:dyDescent="0.3">
      <c r="A5" s="39"/>
      <c r="B5" s="26"/>
      <c r="C5" s="34" t="s">
        <v>22</v>
      </c>
      <c r="D5" s="36" t="s">
        <v>23</v>
      </c>
      <c r="E5" s="13" t="s">
        <v>0</v>
      </c>
      <c r="F5" s="13" t="s">
        <v>1</v>
      </c>
      <c r="G5" s="13" t="s">
        <v>2</v>
      </c>
      <c r="H5" s="13" t="s">
        <v>3</v>
      </c>
      <c r="I5" s="13" t="s">
        <v>4</v>
      </c>
      <c r="J5" s="13" t="s">
        <v>5</v>
      </c>
      <c r="K5" s="13" t="s">
        <v>6</v>
      </c>
      <c r="L5" s="13" t="s">
        <v>7</v>
      </c>
      <c r="M5" s="13" t="s">
        <v>8</v>
      </c>
      <c r="N5" s="13" t="s">
        <v>9</v>
      </c>
      <c r="O5" s="13" t="s">
        <v>10</v>
      </c>
      <c r="P5" s="13" t="s">
        <v>11</v>
      </c>
      <c r="Q5" s="13" t="s">
        <v>12</v>
      </c>
      <c r="R5" s="13" t="s">
        <v>13</v>
      </c>
      <c r="S5" s="13" t="s">
        <v>14</v>
      </c>
      <c r="T5" s="13" t="s">
        <v>15</v>
      </c>
      <c r="U5" s="13" t="s">
        <v>16</v>
      </c>
      <c r="V5" s="13" t="s">
        <v>17</v>
      </c>
      <c r="W5" s="41" t="s">
        <v>18</v>
      </c>
      <c r="X5" s="41" t="s">
        <v>19</v>
      </c>
      <c r="Y5" s="13" t="s">
        <v>24</v>
      </c>
      <c r="Z5" s="43" t="s">
        <v>46</v>
      </c>
      <c r="AA5" s="8" t="s">
        <v>47</v>
      </c>
      <c r="AB5" s="8" t="s">
        <v>48</v>
      </c>
      <c r="AC5" s="10" t="s">
        <v>49</v>
      </c>
      <c r="AD5" s="11"/>
      <c r="AE5" s="12"/>
      <c r="AF5" s="10" t="s">
        <v>50</v>
      </c>
      <c r="AG5" s="11"/>
      <c r="AH5" s="12"/>
      <c r="AI5" s="2" t="s">
        <v>51</v>
      </c>
      <c r="AJ5" s="27"/>
      <c r="AK5" s="27"/>
    </row>
    <row r="6" spans="1:37" ht="32.25" thickBot="1" x14ac:dyDescent="0.3">
      <c r="A6" s="40"/>
      <c r="B6" s="27"/>
      <c r="C6" s="35"/>
      <c r="D6" s="37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42"/>
      <c r="X6" s="42"/>
      <c r="Y6" s="14"/>
      <c r="Z6" s="44"/>
      <c r="AA6" s="9"/>
      <c r="AB6" s="9"/>
      <c r="AC6" s="3" t="s">
        <v>52</v>
      </c>
      <c r="AD6" s="3" t="s">
        <v>53</v>
      </c>
      <c r="AE6" s="3" t="s">
        <v>54</v>
      </c>
      <c r="AF6" s="3" t="s">
        <v>55</v>
      </c>
      <c r="AG6" s="3" t="s">
        <v>56</v>
      </c>
      <c r="AH6" s="3" t="s">
        <v>57</v>
      </c>
      <c r="AI6" s="6"/>
      <c r="AJ6" s="7"/>
      <c r="AK6" s="7"/>
    </row>
    <row r="7" spans="1:37" ht="17.25" thickTop="1" thickBot="1" x14ac:dyDescent="0.3">
      <c r="A7" s="1">
        <v>1</v>
      </c>
      <c r="B7" s="45" t="s">
        <v>68</v>
      </c>
      <c r="C7" s="46"/>
      <c r="D7" s="47"/>
      <c r="E7" s="48"/>
      <c r="F7" s="48"/>
      <c r="G7" s="48"/>
      <c r="H7" s="48"/>
      <c r="I7" s="48"/>
      <c r="J7" s="48"/>
      <c r="K7" s="48"/>
      <c r="L7" s="48"/>
      <c r="M7" s="48"/>
      <c r="N7" s="48"/>
      <c r="O7" s="48">
        <v>4</v>
      </c>
      <c r="P7" s="48"/>
      <c r="Q7" s="48"/>
      <c r="R7" s="48"/>
      <c r="S7" s="48"/>
      <c r="T7" s="48"/>
      <c r="U7" s="48"/>
      <c r="V7" s="48"/>
      <c r="W7" s="48"/>
      <c r="X7" s="48"/>
      <c r="Y7" s="48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7" t="s">
        <v>69</v>
      </c>
      <c r="AK7" s="47" t="s">
        <v>70</v>
      </c>
    </row>
    <row r="8" spans="1:37" ht="16.5" thickBot="1" x14ac:dyDescent="0.3">
      <c r="A8" s="1">
        <v>2</v>
      </c>
      <c r="B8" s="45" t="s">
        <v>25</v>
      </c>
      <c r="C8" s="50">
        <v>26184703</v>
      </c>
      <c r="D8" s="51"/>
      <c r="E8" s="48"/>
      <c r="F8" s="48"/>
      <c r="G8" s="48"/>
      <c r="H8" s="48"/>
      <c r="I8" s="48"/>
      <c r="J8" s="48">
        <v>1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7" t="s">
        <v>71</v>
      </c>
      <c r="AK8" s="47" t="s">
        <v>70</v>
      </c>
    </row>
    <row r="9" spans="1:37" ht="16.5" thickBot="1" x14ac:dyDescent="0.3">
      <c r="A9" s="1">
        <v>3</v>
      </c>
      <c r="B9" s="45" t="s">
        <v>72</v>
      </c>
      <c r="C9" s="51">
        <v>26170268</v>
      </c>
      <c r="D9" s="47"/>
      <c r="E9" s="48"/>
      <c r="F9" s="48"/>
      <c r="G9" s="48"/>
      <c r="H9" s="48">
        <v>2</v>
      </c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7" t="s">
        <v>73</v>
      </c>
      <c r="AK9" s="47" t="s">
        <v>70</v>
      </c>
    </row>
    <row r="10" spans="1:37" ht="16.5" thickBot="1" x14ac:dyDescent="0.3">
      <c r="A10" s="1">
        <v>4</v>
      </c>
      <c r="B10" s="45" t="s">
        <v>74</v>
      </c>
      <c r="C10" s="51" t="s">
        <v>75</v>
      </c>
      <c r="D10" s="47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>
        <v>2</v>
      </c>
      <c r="W10" s="48"/>
      <c r="X10" s="48"/>
      <c r="Y10" s="48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7" t="s">
        <v>76</v>
      </c>
      <c r="AK10" s="47" t="s">
        <v>70</v>
      </c>
    </row>
    <row r="11" spans="1:37" ht="16.5" thickBot="1" x14ac:dyDescent="0.3">
      <c r="A11" s="1">
        <v>5</v>
      </c>
      <c r="B11" s="45" t="s">
        <v>77</v>
      </c>
      <c r="C11" s="51">
        <v>26181710</v>
      </c>
      <c r="D11" s="51" t="s">
        <v>78</v>
      </c>
      <c r="E11" s="48">
        <v>2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7" t="s">
        <v>79</v>
      </c>
      <c r="AK11" s="47" t="s">
        <v>70</v>
      </c>
    </row>
    <row r="12" spans="1:37" ht="16.5" thickBot="1" x14ac:dyDescent="0.3">
      <c r="A12" s="1">
        <v>6</v>
      </c>
      <c r="B12" s="45" t="s">
        <v>80</v>
      </c>
      <c r="C12" s="52"/>
      <c r="D12" s="51">
        <v>2505878</v>
      </c>
      <c r="E12" s="48"/>
      <c r="F12" s="48"/>
      <c r="G12" s="48"/>
      <c r="H12" s="48"/>
      <c r="I12" s="48"/>
      <c r="J12" s="48"/>
      <c r="K12" s="48">
        <v>1</v>
      </c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7" t="s">
        <v>81</v>
      </c>
      <c r="AK12" s="47" t="s">
        <v>70</v>
      </c>
    </row>
    <row r="13" spans="1:37" ht="16.5" thickBot="1" x14ac:dyDescent="0.3">
      <c r="A13" s="1">
        <v>7</v>
      </c>
      <c r="B13" s="45" t="s">
        <v>31</v>
      </c>
      <c r="C13" s="51" t="s">
        <v>82</v>
      </c>
      <c r="D13" s="53"/>
      <c r="E13" s="48"/>
      <c r="F13" s="48"/>
      <c r="G13" s="48"/>
      <c r="H13" s="48"/>
      <c r="I13" s="48"/>
      <c r="J13" s="48">
        <v>2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7" t="s">
        <v>83</v>
      </c>
      <c r="AK13" s="47" t="s">
        <v>70</v>
      </c>
    </row>
    <row r="14" spans="1:37" ht="16.5" thickBot="1" x14ac:dyDescent="0.3">
      <c r="A14" s="1">
        <v>8</v>
      </c>
      <c r="B14" s="45" t="s">
        <v>84</v>
      </c>
      <c r="C14" s="46" t="s">
        <v>85</v>
      </c>
      <c r="D14" s="5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9"/>
      <c r="AA14" s="49"/>
      <c r="AB14" s="49"/>
      <c r="AC14" s="49"/>
      <c r="AD14" s="49"/>
      <c r="AE14" s="49"/>
      <c r="AF14" s="49"/>
      <c r="AG14" s="49"/>
      <c r="AH14" s="49"/>
      <c r="AI14" s="49" t="s">
        <v>86</v>
      </c>
      <c r="AJ14" s="47" t="s">
        <v>40</v>
      </c>
      <c r="AK14" s="47" t="s">
        <v>70</v>
      </c>
    </row>
    <row r="15" spans="1:37" ht="16.5" thickBot="1" x14ac:dyDescent="0.3">
      <c r="A15" s="1">
        <v>9</v>
      </c>
      <c r="B15" s="45" t="s">
        <v>25</v>
      </c>
      <c r="C15" s="51">
        <v>26184811</v>
      </c>
      <c r="D15" s="51" t="s">
        <v>87</v>
      </c>
      <c r="E15" s="48">
        <v>2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7" t="s">
        <v>88</v>
      </c>
      <c r="AK15" s="47" t="s">
        <v>70</v>
      </c>
    </row>
    <row r="16" spans="1:37" ht="16.5" thickBot="1" x14ac:dyDescent="0.3">
      <c r="A16" s="1">
        <v>10</v>
      </c>
      <c r="B16" s="45" t="s">
        <v>89</v>
      </c>
      <c r="C16" s="54">
        <v>26163500</v>
      </c>
      <c r="D16" s="51"/>
      <c r="E16" s="48"/>
      <c r="F16" s="48"/>
      <c r="G16" s="48"/>
      <c r="H16" s="48">
        <v>1</v>
      </c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7" t="s">
        <v>90</v>
      </c>
      <c r="AK16" s="47" t="s">
        <v>70</v>
      </c>
    </row>
    <row r="17" spans="1:37" ht="16.5" thickBot="1" x14ac:dyDescent="0.3">
      <c r="A17" s="1">
        <v>11</v>
      </c>
      <c r="B17" s="45" t="s">
        <v>91</v>
      </c>
      <c r="C17" s="51"/>
      <c r="D17" s="51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9"/>
      <c r="AA17" s="49"/>
      <c r="AB17" s="49"/>
      <c r="AC17" s="49"/>
      <c r="AD17" s="49"/>
      <c r="AE17" s="49"/>
      <c r="AF17" s="49"/>
      <c r="AG17" s="49"/>
      <c r="AH17" s="49"/>
      <c r="AI17" s="49" t="s">
        <v>92</v>
      </c>
      <c r="AJ17" s="47" t="s">
        <v>93</v>
      </c>
      <c r="AK17" s="47" t="s">
        <v>94</v>
      </c>
    </row>
    <row r="18" spans="1:37" ht="16.5" thickBot="1" x14ac:dyDescent="0.3">
      <c r="A18" s="1">
        <v>12</v>
      </c>
      <c r="B18" s="45" t="s">
        <v>95</v>
      </c>
      <c r="C18" s="51" t="s">
        <v>96</v>
      </c>
      <c r="D18" s="47" t="s">
        <v>97</v>
      </c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>
        <v>1</v>
      </c>
      <c r="X18" s="48"/>
      <c r="Y18" s="48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55" t="s">
        <v>69</v>
      </c>
      <c r="AK18" s="47" t="s">
        <v>70</v>
      </c>
    </row>
    <row r="19" spans="1:37" ht="16.5" thickBot="1" x14ac:dyDescent="0.3">
      <c r="A19" s="1">
        <v>13</v>
      </c>
      <c r="B19" s="45" t="s">
        <v>59</v>
      </c>
      <c r="C19" s="51"/>
      <c r="D19" s="47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9"/>
      <c r="AA19" s="49"/>
      <c r="AB19" s="49">
        <v>1</v>
      </c>
      <c r="AC19" s="49"/>
      <c r="AD19" s="49"/>
      <c r="AE19" s="49"/>
      <c r="AF19" s="49"/>
      <c r="AG19" s="49"/>
      <c r="AH19" s="49"/>
      <c r="AI19" s="49" t="s">
        <v>92</v>
      </c>
      <c r="AJ19" s="47" t="s">
        <v>93</v>
      </c>
      <c r="AK19" s="47" t="s">
        <v>58</v>
      </c>
    </row>
    <row r="20" spans="1:37" ht="16.5" thickBot="1" x14ac:dyDescent="0.3">
      <c r="A20" s="1">
        <v>14</v>
      </c>
      <c r="B20" s="51" t="s">
        <v>98</v>
      </c>
      <c r="C20" s="51"/>
      <c r="D20" s="5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9"/>
      <c r="AA20" s="49"/>
      <c r="AB20" s="49"/>
      <c r="AC20" s="49"/>
      <c r="AD20" s="49"/>
      <c r="AE20" s="49"/>
      <c r="AF20" s="49"/>
      <c r="AG20" s="49"/>
      <c r="AH20" s="49"/>
      <c r="AI20" s="49" t="s">
        <v>99</v>
      </c>
      <c r="AJ20" s="47" t="s">
        <v>100</v>
      </c>
      <c r="AK20" s="47" t="s">
        <v>58</v>
      </c>
    </row>
    <row r="21" spans="1:37" ht="16.5" thickBot="1" x14ac:dyDescent="0.3">
      <c r="A21" s="1">
        <v>15</v>
      </c>
      <c r="B21" s="51" t="s">
        <v>28</v>
      </c>
      <c r="C21" s="51" t="s">
        <v>101</v>
      </c>
      <c r="D21" s="51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>
        <v>2</v>
      </c>
      <c r="S21" s="48"/>
      <c r="T21" s="48"/>
      <c r="U21" s="48"/>
      <c r="V21" s="48"/>
      <c r="W21" s="48"/>
      <c r="X21" s="48"/>
      <c r="Y21" s="48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7" t="s">
        <v>35</v>
      </c>
      <c r="AK21" s="47" t="s">
        <v>70</v>
      </c>
    </row>
    <row r="22" spans="1:37" ht="16.5" thickBot="1" x14ac:dyDescent="0.3">
      <c r="A22" s="1">
        <v>16</v>
      </c>
      <c r="B22" s="45" t="s">
        <v>102</v>
      </c>
      <c r="C22" s="51">
        <v>26180626</v>
      </c>
      <c r="D22" s="47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>
        <v>1</v>
      </c>
      <c r="W22" s="48"/>
      <c r="X22" s="48"/>
      <c r="Y22" s="48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7" t="s">
        <v>103</v>
      </c>
      <c r="AK22" s="47" t="s">
        <v>70</v>
      </c>
    </row>
    <row r="23" spans="1:37" ht="16.5" thickBot="1" x14ac:dyDescent="0.3">
      <c r="A23" s="1">
        <v>17</v>
      </c>
      <c r="B23" s="51" t="s">
        <v>77</v>
      </c>
      <c r="C23" s="51">
        <v>26180428</v>
      </c>
      <c r="D23" s="52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>
        <v>1</v>
      </c>
      <c r="S23" s="48"/>
      <c r="T23" s="48"/>
      <c r="U23" s="48"/>
      <c r="V23" s="48"/>
      <c r="W23" s="48"/>
      <c r="X23" s="48"/>
      <c r="Y23" s="48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7" t="s">
        <v>79</v>
      </c>
      <c r="AK23" s="47" t="s">
        <v>70</v>
      </c>
    </row>
    <row r="24" spans="1:37" ht="16.5" thickBot="1" x14ac:dyDescent="0.3">
      <c r="A24" s="1">
        <v>18</v>
      </c>
      <c r="B24" s="51" t="s">
        <v>25</v>
      </c>
      <c r="C24" s="51">
        <v>26185137</v>
      </c>
      <c r="D24" s="54"/>
      <c r="E24" s="48"/>
      <c r="F24" s="48"/>
      <c r="G24" s="48"/>
      <c r="H24" s="48"/>
      <c r="I24" s="48"/>
      <c r="J24" s="48">
        <v>1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7" t="s">
        <v>104</v>
      </c>
      <c r="AK24" s="47" t="s">
        <v>70</v>
      </c>
    </row>
    <row r="25" spans="1:37" ht="16.5" thickBot="1" x14ac:dyDescent="0.3">
      <c r="A25" s="1">
        <v>19</v>
      </c>
      <c r="B25" s="51" t="s">
        <v>31</v>
      </c>
      <c r="C25" s="51" t="s">
        <v>105</v>
      </c>
      <c r="D25" s="51"/>
      <c r="E25" s="48"/>
      <c r="F25" s="48">
        <v>1</v>
      </c>
      <c r="G25" s="48"/>
      <c r="H25" s="48"/>
      <c r="I25" s="48"/>
      <c r="J25" s="48">
        <v>1</v>
      </c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7" t="s">
        <v>106</v>
      </c>
      <c r="AK25" s="47" t="s">
        <v>70</v>
      </c>
    </row>
    <row r="26" spans="1:37" ht="16.5" thickBot="1" x14ac:dyDescent="0.3">
      <c r="A26" s="1">
        <v>20</v>
      </c>
      <c r="B26" s="51" t="s">
        <v>107</v>
      </c>
      <c r="C26" s="51">
        <v>26182782</v>
      </c>
      <c r="D26" s="51"/>
      <c r="E26" s="56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>
        <v>1</v>
      </c>
      <c r="S26" s="48"/>
      <c r="T26" s="48"/>
      <c r="U26" s="48"/>
      <c r="V26" s="48"/>
      <c r="W26" s="48"/>
      <c r="X26" s="48"/>
      <c r="Y26" s="48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7" t="s">
        <v>108</v>
      </c>
      <c r="AK26" s="47" t="s">
        <v>70</v>
      </c>
    </row>
    <row r="27" spans="1:37" ht="16.5" thickBot="1" x14ac:dyDescent="0.3">
      <c r="A27" s="1">
        <v>21</v>
      </c>
      <c r="B27" s="51" t="s">
        <v>107</v>
      </c>
      <c r="C27" s="57">
        <v>26182782</v>
      </c>
      <c r="D27" s="51"/>
      <c r="E27" s="48">
        <v>1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7" t="s">
        <v>108</v>
      </c>
      <c r="AK27" s="47" t="s">
        <v>94</v>
      </c>
    </row>
    <row r="28" spans="1:37" ht="16.5" thickBot="1" x14ac:dyDescent="0.3">
      <c r="A28" s="1">
        <v>22</v>
      </c>
      <c r="B28" s="45" t="s">
        <v>68</v>
      </c>
      <c r="C28" s="51"/>
      <c r="D28" s="47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>
        <v>1</v>
      </c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7" t="s">
        <v>70</v>
      </c>
      <c r="AK28" s="47" t="s">
        <v>94</v>
      </c>
    </row>
    <row r="29" spans="1:37" ht="16.5" thickBot="1" x14ac:dyDescent="0.3">
      <c r="A29" s="1">
        <v>23</v>
      </c>
      <c r="B29" s="45" t="s">
        <v>72</v>
      </c>
      <c r="C29" s="51">
        <v>26181826</v>
      </c>
      <c r="D29" s="47"/>
      <c r="E29" s="48"/>
      <c r="F29" s="48"/>
      <c r="G29" s="48"/>
      <c r="H29" s="48"/>
      <c r="I29" s="48"/>
      <c r="J29" s="48">
        <v>1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7" t="s">
        <v>73</v>
      </c>
      <c r="AK29" s="47" t="s">
        <v>70</v>
      </c>
    </row>
    <row r="30" spans="1:37" ht="16.5" thickBot="1" x14ac:dyDescent="0.3">
      <c r="A30" s="1">
        <v>24</v>
      </c>
      <c r="B30" s="45" t="s">
        <v>95</v>
      </c>
      <c r="C30" s="51">
        <v>26181929</v>
      </c>
      <c r="D30" s="57">
        <v>7862873</v>
      </c>
      <c r="E30" s="56">
        <v>1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7" t="s">
        <v>109</v>
      </c>
      <c r="AK30" s="47" t="s">
        <v>70</v>
      </c>
    </row>
    <row r="31" spans="1:37" ht="16.5" thickBot="1" x14ac:dyDescent="0.3">
      <c r="A31" s="1">
        <v>25</v>
      </c>
      <c r="B31" s="45" t="s">
        <v>110</v>
      </c>
      <c r="C31" s="52">
        <v>26180168</v>
      </c>
      <c r="D31" s="47">
        <v>14747665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>
        <v>1</v>
      </c>
      <c r="X31" s="48"/>
      <c r="Y31" s="48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7" t="s">
        <v>111</v>
      </c>
      <c r="AK31" s="47" t="s">
        <v>70</v>
      </c>
    </row>
    <row r="32" spans="1:37" ht="16.5" thickBot="1" x14ac:dyDescent="0.3">
      <c r="A32" s="1">
        <v>26</v>
      </c>
      <c r="B32" s="45" t="s">
        <v>29</v>
      </c>
      <c r="C32" s="52">
        <v>26174839</v>
      </c>
      <c r="D32" s="57">
        <v>7856861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9"/>
      <c r="AA32" s="49"/>
      <c r="AB32" s="49"/>
      <c r="AC32" s="49"/>
      <c r="AD32" s="49"/>
      <c r="AE32" s="49"/>
      <c r="AF32" s="49"/>
      <c r="AG32" s="49"/>
      <c r="AH32" s="49"/>
      <c r="AI32" s="49" t="s">
        <v>112</v>
      </c>
      <c r="AJ32" s="47" t="s">
        <v>36</v>
      </c>
      <c r="AK32" s="47" t="s">
        <v>70</v>
      </c>
    </row>
    <row r="33" spans="1:37" ht="16.5" thickBot="1" x14ac:dyDescent="0.3">
      <c r="A33" s="1">
        <v>27</v>
      </c>
      <c r="B33" s="45" t="s">
        <v>25</v>
      </c>
      <c r="C33" s="46">
        <v>26164006</v>
      </c>
      <c r="D33" s="58"/>
      <c r="E33" s="48"/>
      <c r="F33" s="48"/>
      <c r="G33" s="48"/>
      <c r="H33" s="48">
        <v>1</v>
      </c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7"/>
      <c r="AK33" s="47" t="s">
        <v>94</v>
      </c>
    </row>
    <row r="34" spans="1:37" ht="16.5" thickBot="1" x14ac:dyDescent="0.3">
      <c r="A34" s="1">
        <v>28</v>
      </c>
      <c r="B34" s="45" t="s">
        <v>32</v>
      </c>
      <c r="C34" s="51">
        <v>26184696</v>
      </c>
      <c r="D34" s="5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9"/>
      <c r="AA34" s="49"/>
      <c r="AB34" s="49"/>
      <c r="AC34" s="49"/>
      <c r="AD34" s="49"/>
      <c r="AE34" s="49"/>
      <c r="AF34" s="49"/>
      <c r="AG34" s="49"/>
      <c r="AH34" s="49"/>
      <c r="AI34" s="49" t="s">
        <v>113</v>
      </c>
      <c r="AJ34" s="47" t="s">
        <v>114</v>
      </c>
      <c r="AK34" s="47" t="s">
        <v>70</v>
      </c>
    </row>
    <row r="35" spans="1:37" ht="16.5" thickBot="1" x14ac:dyDescent="0.3">
      <c r="A35" s="1">
        <v>29</v>
      </c>
      <c r="B35" s="45" t="s">
        <v>115</v>
      </c>
      <c r="C35" s="46"/>
      <c r="D35" s="53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9"/>
      <c r="AA35" s="49"/>
      <c r="AB35" s="49"/>
      <c r="AC35" s="49"/>
      <c r="AD35" s="49"/>
      <c r="AE35" s="49"/>
      <c r="AF35" s="49"/>
      <c r="AG35" s="49"/>
      <c r="AH35" s="49"/>
      <c r="AI35" s="49" t="s">
        <v>116</v>
      </c>
      <c r="AJ35" s="47" t="s">
        <v>117</v>
      </c>
      <c r="AK35" s="47" t="s">
        <v>58</v>
      </c>
    </row>
    <row r="36" spans="1:37" ht="16.5" thickBot="1" x14ac:dyDescent="0.3">
      <c r="A36" s="1">
        <v>30</v>
      </c>
      <c r="B36" s="45" t="s">
        <v>29</v>
      </c>
      <c r="C36" s="52">
        <v>26174839</v>
      </c>
      <c r="D36" s="52">
        <v>14713627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>
        <v>1</v>
      </c>
      <c r="X36" s="48"/>
      <c r="Y36" s="48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7" t="s">
        <v>36</v>
      </c>
      <c r="AK36" s="47" t="s">
        <v>70</v>
      </c>
    </row>
    <row r="37" spans="1:37" ht="16.5" thickBot="1" x14ac:dyDescent="0.3">
      <c r="A37" s="1">
        <v>31</v>
      </c>
      <c r="B37" s="45" t="s">
        <v>107</v>
      </c>
      <c r="C37" s="51">
        <v>26184169</v>
      </c>
      <c r="D37" s="51"/>
      <c r="E37" s="59">
        <v>1</v>
      </c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48"/>
      <c r="X37" s="48"/>
      <c r="Y37" s="48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7" t="s">
        <v>118</v>
      </c>
      <c r="AK37" s="47" t="s">
        <v>70</v>
      </c>
    </row>
    <row r="38" spans="1:37" ht="16.5" thickBot="1" x14ac:dyDescent="0.3">
      <c r="A38" s="1">
        <v>32</v>
      </c>
      <c r="B38" s="45" t="s">
        <v>26</v>
      </c>
      <c r="C38" s="51" t="s">
        <v>119</v>
      </c>
      <c r="D38" s="51"/>
      <c r="E38" s="59"/>
      <c r="F38" s="59"/>
      <c r="G38" s="59"/>
      <c r="H38" s="59"/>
      <c r="I38" s="59"/>
      <c r="J38" s="59">
        <v>2</v>
      </c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48"/>
      <c r="X38" s="48"/>
      <c r="Y38" s="48"/>
      <c r="Z38" s="49"/>
      <c r="AA38" s="49"/>
      <c r="AB38" s="49"/>
      <c r="AC38" s="49"/>
      <c r="AD38" s="49"/>
      <c r="AE38" s="49"/>
      <c r="AF38" s="49"/>
      <c r="AG38" s="49"/>
      <c r="AH38" s="49"/>
      <c r="AI38" s="49" t="s">
        <v>120</v>
      </c>
      <c r="AJ38" s="47" t="s">
        <v>121</v>
      </c>
      <c r="AK38" s="47" t="s">
        <v>70</v>
      </c>
    </row>
    <row r="39" spans="1:37" ht="16.5" thickBot="1" x14ac:dyDescent="0.3">
      <c r="A39" s="1">
        <v>33</v>
      </c>
      <c r="B39" s="45" t="s">
        <v>107</v>
      </c>
      <c r="C39" s="51">
        <v>26181866</v>
      </c>
      <c r="D39" s="54"/>
      <c r="E39" s="59"/>
      <c r="F39" s="59"/>
      <c r="G39" s="59"/>
      <c r="H39" s="59">
        <v>1</v>
      </c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48"/>
      <c r="X39" s="48"/>
      <c r="Y39" s="48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7" t="s">
        <v>108</v>
      </c>
      <c r="AK39" s="47" t="s">
        <v>94</v>
      </c>
    </row>
    <row r="40" spans="1:37" ht="16.5" thickBot="1" x14ac:dyDescent="0.3">
      <c r="A40" s="1">
        <v>34</v>
      </c>
      <c r="B40" s="45" t="s">
        <v>72</v>
      </c>
      <c r="C40" s="51">
        <v>26181823</v>
      </c>
      <c r="D40" s="51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48"/>
      <c r="X40" s="48"/>
      <c r="Y40" s="48"/>
      <c r="Z40" s="49"/>
      <c r="AA40" s="49"/>
      <c r="AB40" s="49"/>
      <c r="AC40" s="49"/>
      <c r="AD40" s="49"/>
      <c r="AE40" s="49"/>
      <c r="AF40" s="49"/>
      <c r="AG40" s="49"/>
      <c r="AH40" s="49"/>
      <c r="AI40" s="49" t="s">
        <v>122</v>
      </c>
      <c r="AJ40" s="47" t="s">
        <v>73</v>
      </c>
      <c r="AK40" s="47" t="s">
        <v>70</v>
      </c>
    </row>
    <row r="41" spans="1:37" ht="16.5" thickBot="1" x14ac:dyDescent="0.3">
      <c r="A41" s="1">
        <v>35</v>
      </c>
      <c r="B41" s="45" t="s">
        <v>32</v>
      </c>
      <c r="C41" s="51" t="s">
        <v>123</v>
      </c>
      <c r="D41" s="51">
        <v>7866004</v>
      </c>
      <c r="E41" s="59">
        <v>2</v>
      </c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48"/>
      <c r="X41" s="48"/>
      <c r="Y41" s="48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7" t="s">
        <v>76</v>
      </c>
      <c r="AK41" s="47" t="s">
        <v>70</v>
      </c>
    </row>
    <row r="42" spans="1:37" ht="16.5" thickBot="1" x14ac:dyDescent="0.3">
      <c r="A42" s="1">
        <v>36</v>
      </c>
      <c r="B42" s="45" t="s">
        <v>25</v>
      </c>
      <c r="C42" s="51">
        <v>26185444</v>
      </c>
      <c r="D42" s="51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48"/>
      <c r="X42" s="48"/>
      <c r="Y42" s="48"/>
      <c r="Z42" s="49"/>
      <c r="AA42" s="49"/>
      <c r="AB42" s="49"/>
      <c r="AC42" s="49"/>
      <c r="AD42" s="49"/>
      <c r="AE42" s="49"/>
      <c r="AF42" s="49"/>
      <c r="AG42" s="49"/>
      <c r="AH42" s="49"/>
      <c r="AI42" s="49" t="s">
        <v>124</v>
      </c>
      <c r="AJ42" s="47" t="s">
        <v>125</v>
      </c>
      <c r="AK42" s="47" t="s">
        <v>70</v>
      </c>
    </row>
    <row r="43" spans="1:37" ht="16.5" thickBot="1" x14ac:dyDescent="0.3">
      <c r="A43" s="1">
        <v>37</v>
      </c>
      <c r="B43" s="45" t="s">
        <v>126</v>
      </c>
      <c r="C43" s="51">
        <v>26183714</v>
      </c>
      <c r="D43" s="47"/>
      <c r="E43" s="59">
        <v>1</v>
      </c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48"/>
      <c r="X43" s="48"/>
      <c r="Y43" s="48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7" t="s">
        <v>127</v>
      </c>
      <c r="AK43" s="47" t="s">
        <v>70</v>
      </c>
    </row>
    <row r="44" spans="1:37" ht="16.5" thickBot="1" x14ac:dyDescent="0.3">
      <c r="A44" s="1">
        <v>38</v>
      </c>
      <c r="B44" s="45" t="s">
        <v>29</v>
      </c>
      <c r="C44" s="51">
        <v>26161855</v>
      </c>
      <c r="D44" s="47">
        <v>14639557</v>
      </c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48">
        <v>1</v>
      </c>
      <c r="X44" s="48"/>
      <c r="Y44" s="48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7" t="s">
        <v>36</v>
      </c>
      <c r="AK44" s="47" t="s">
        <v>70</v>
      </c>
    </row>
    <row r="45" spans="1:37" ht="16.5" thickBot="1" x14ac:dyDescent="0.3">
      <c r="A45" s="1">
        <v>39</v>
      </c>
      <c r="B45" s="45" t="s">
        <v>84</v>
      </c>
      <c r="C45" s="51" t="s">
        <v>128</v>
      </c>
      <c r="D45" s="47"/>
      <c r="E45" s="59"/>
      <c r="F45" s="59"/>
      <c r="G45" s="59"/>
      <c r="H45" s="59"/>
      <c r="I45" s="59"/>
      <c r="J45" s="59">
        <v>2</v>
      </c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48"/>
      <c r="X45" s="48"/>
      <c r="Y45" s="48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7" t="s">
        <v>40</v>
      </c>
      <c r="AK45" s="47" t="s">
        <v>70</v>
      </c>
    </row>
    <row r="46" spans="1:37" ht="16.5" thickBot="1" x14ac:dyDescent="0.3">
      <c r="A46" s="1">
        <v>40</v>
      </c>
      <c r="B46" s="45" t="s">
        <v>107</v>
      </c>
      <c r="C46" s="51"/>
      <c r="D46" s="47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48"/>
      <c r="X46" s="48"/>
      <c r="Y46" s="48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7"/>
      <c r="AK46" s="47"/>
    </row>
    <row r="47" spans="1:37" ht="16.5" thickBot="1" x14ac:dyDescent="0.3">
      <c r="A47" s="1">
        <v>41</v>
      </c>
      <c r="B47" s="45" t="s">
        <v>129</v>
      </c>
      <c r="C47" s="51">
        <v>26183279</v>
      </c>
      <c r="D47" s="47"/>
      <c r="E47" s="59"/>
      <c r="F47" s="59"/>
      <c r="G47" s="59">
        <v>1</v>
      </c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48"/>
      <c r="X47" s="48"/>
      <c r="Y47" s="48"/>
      <c r="Z47" s="49"/>
      <c r="AA47" s="49"/>
      <c r="AB47" s="49"/>
      <c r="AC47" s="49"/>
      <c r="AD47" s="49"/>
      <c r="AE47" s="49"/>
      <c r="AF47" s="49"/>
      <c r="AG47" s="49"/>
      <c r="AH47" s="49"/>
      <c r="AI47" s="47"/>
      <c r="AJ47" s="47" t="s">
        <v>130</v>
      </c>
      <c r="AK47" s="47" t="s">
        <v>70</v>
      </c>
    </row>
    <row r="48" spans="1:37" ht="16.5" thickBot="1" x14ac:dyDescent="0.3">
      <c r="A48" s="1">
        <v>42</v>
      </c>
      <c r="B48" s="45" t="s">
        <v>25</v>
      </c>
      <c r="C48" s="51" t="s">
        <v>131</v>
      </c>
      <c r="D48" s="47"/>
      <c r="E48" s="59"/>
      <c r="F48" s="59"/>
      <c r="G48" s="59"/>
      <c r="H48" s="59"/>
      <c r="I48" s="59"/>
      <c r="J48" s="59">
        <v>5</v>
      </c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48"/>
      <c r="X48" s="48"/>
      <c r="Y48" s="48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7" t="s">
        <v>83</v>
      </c>
      <c r="AK48" s="47" t="s">
        <v>70</v>
      </c>
    </row>
    <row r="49" spans="1:37" ht="16.5" thickBot="1" x14ac:dyDescent="0.3">
      <c r="A49" s="1">
        <v>43</v>
      </c>
      <c r="B49" s="45" t="s">
        <v>115</v>
      </c>
      <c r="C49" s="51"/>
      <c r="D49" s="47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>
        <v>1</v>
      </c>
      <c r="R49" s="59"/>
      <c r="S49" s="59"/>
      <c r="T49" s="59"/>
      <c r="U49" s="59"/>
      <c r="V49" s="59"/>
      <c r="W49" s="48"/>
      <c r="X49" s="48"/>
      <c r="Y49" s="48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7" t="s">
        <v>132</v>
      </c>
      <c r="AK49" s="47" t="s">
        <v>70</v>
      </c>
    </row>
    <row r="50" spans="1:37" ht="16.5" thickBot="1" x14ac:dyDescent="0.3">
      <c r="A50" s="1">
        <v>44</v>
      </c>
      <c r="B50" s="45" t="s">
        <v>89</v>
      </c>
      <c r="C50" s="51"/>
      <c r="D50" s="47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48"/>
      <c r="X50" s="48"/>
      <c r="Y50" s="48"/>
      <c r="Z50" s="49"/>
      <c r="AA50" s="49"/>
      <c r="AB50" s="49"/>
      <c r="AC50" s="49"/>
      <c r="AD50" s="49"/>
      <c r="AE50" s="49"/>
      <c r="AF50" s="49"/>
      <c r="AG50" s="49"/>
      <c r="AH50" s="49"/>
      <c r="AI50" s="49" t="s">
        <v>133</v>
      </c>
      <c r="AJ50" s="47" t="s">
        <v>134</v>
      </c>
      <c r="AK50" s="47" t="s">
        <v>135</v>
      </c>
    </row>
    <row r="51" spans="1:37" ht="16.5" thickBot="1" x14ac:dyDescent="0.3">
      <c r="A51" s="1">
        <v>45</v>
      </c>
      <c r="B51" s="45" t="s">
        <v>136</v>
      </c>
      <c r="C51" s="51"/>
      <c r="D51" s="47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49"/>
      <c r="AA51" s="49"/>
      <c r="AB51" s="49"/>
      <c r="AC51" s="49"/>
      <c r="AD51" s="49"/>
      <c r="AE51" s="49"/>
      <c r="AF51" s="49"/>
      <c r="AG51" s="49"/>
      <c r="AH51" s="49"/>
      <c r="AI51" s="49" t="s">
        <v>137</v>
      </c>
      <c r="AJ51" s="47"/>
      <c r="AK51" s="47" t="s">
        <v>135</v>
      </c>
    </row>
    <row r="52" spans="1:37" ht="16.5" thickBot="1" x14ac:dyDescent="0.3">
      <c r="A52" s="1">
        <v>46</v>
      </c>
      <c r="B52" s="45" t="s">
        <v>26</v>
      </c>
      <c r="C52" s="51"/>
      <c r="D52" s="47"/>
      <c r="E52" s="59"/>
      <c r="F52" s="59"/>
      <c r="G52" s="59"/>
      <c r="H52" s="59"/>
      <c r="I52" s="59"/>
      <c r="J52" s="59">
        <v>14</v>
      </c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7" t="s">
        <v>138</v>
      </c>
      <c r="AK52" s="47" t="s">
        <v>37</v>
      </c>
    </row>
    <row r="53" spans="1:37" ht="16.5" thickBot="1" x14ac:dyDescent="0.3">
      <c r="A53" s="1">
        <v>47</v>
      </c>
      <c r="B53" s="45" t="s">
        <v>107</v>
      </c>
      <c r="C53" s="51"/>
      <c r="D53" s="47"/>
      <c r="E53" s="59"/>
      <c r="F53" s="59"/>
      <c r="G53" s="59"/>
      <c r="H53" s="59">
        <v>1</v>
      </c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>
        <v>1</v>
      </c>
      <c r="V53" s="59"/>
      <c r="W53" s="59"/>
      <c r="X53" s="59"/>
      <c r="Y53" s="5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7" t="s">
        <v>139</v>
      </c>
      <c r="AK53" s="47" t="s">
        <v>37</v>
      </c>
    </row>
    <row r="54" spans="1:37" ht="16.5" thickBot="1" x14ac:dyDescent="0.3">
      <c r="A54" s="1">
        <v>48</v>
      </c>
      <c r="B54" s="45" t="s">
        <v>140</v>
      </c>
      <c r="C54" s="51"/>
      <c r="D54" s="47"/>
      <c r="E54" s="59"/>
      <c r="F54" s="59"/>
      <c r="G54" s="59"/>
      <c r="H54" s="59"/>
      <c r="I54" s="59"/>
      <c r="J54" s="59"/>
      <c r="K54" s="59">
        <v>1</v>
      </c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7" t="s">
        <v>141</v>
      </c>
      <c r="AK54" s="47" t="s">
        <v>37</v>
      </c>
    </row>
    <row r="55" spans="1:37" ht="16.5" thickBot="1" x14ac:dyDescent="0.3">
      <c r="A55" s="1">
        <v>49</v>
      </c>
      <c r="B55" s="45" t="s">
        <v>142</v>
      </c>
      <c r="C55" s="51"/>
      <c r="D55" s="47"/>
      <c r="E55" s="59"/>
      <c r="F55" s="59"/>
      <c r="G55" s="59"/>
      <c r="H55" s="59">
        <v>1</v>
      </c>
      <c r="I55" s="59"/>
      <c r="J55" s="59"/>
      <c r="K55" s="59"/>
      <c r="L55" s="59"/>
      <c r="M55" s="59"/>
      <c r="N55" s="59"/>
      <c r="O55" s="59"/>
      <c r="P55" s="59"/>
      <c r="Q55" s="59">
        <v>1</v>
      </c>
      <c r="R55" s="59"/>
      <c r="S55" s="59"/>
      <c r="T55" s="59"/>
      <c r="U55" s="59"/>
      <c r="V55" s="59"/>
      <c r="W55" s="59"/>
      <c r="X55" s="59"/>
      <c r="Y55" s="5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7" t="s">
        <v>143</v>
      </c>
      <c r="AK55" s="47" t="s">
        <v>37</v>
      </c>
    </row>
    <row r="56" spans="1:37" x14ac:dyDescent="0.25">
      <c r="B56" s="45" t="s">
        <v>61</v>
      </c>
      <c r="C56" s="51"/>
      <c r="D56" s="47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>
        <v>2</v>
      </c>
      <c r="W56" s="59"/>
      <c r="X56" s="59"/>
      <c r="Y56" s="5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7" t="s">
        <v>62</v>
      </c>
      <c r="AK56" s="47" t="s">
        <v>37</v>
      </c>
    </row>
    <row r="57" spans="1:37" x14ac:dyDescent="0.25">
      <c r="B57" s="45" t="s">
        <v>63</v>
      </c>
      <c r="C57" s="57"/>
      <c r="D57" s="47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>
        <v>3</v>
      </c>
      <c r="Q57" s="59"/>
      <c r="R57" s="59"/>
      <c r="S57" s="59"/>
      <c r="T57" s="59"/>
      <c r="U57" s="59"/>
      <c r="V57" s="59"/>
      <c r="W57" s="59"/>
      <c r="X57" s="59"/>
      <c r="Y57" s="5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7" t="s">
        <v>144</v>
      </c>
      <c r="AK57" s="47" t="s">
        <v>37</v>
      </c>
    </row>
    <row r="58" spans="1:37" x14ac:dyDescent="0.25">
      <c r="B58" s="45" t="s">
        <v>29</v>
      </c>
      <c r="C58" s="51"/>
      <c r="D58" s="60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49"/>
      <c r="AA58" s="49"/>
      <c r="AB58" s="49"/>
      <c r="AC58" s="49"/>
      <c r="AD58" s="49"/>
      <c r="AE58" s="49"/>
      <c r="AF58" s="49"/>
      <c r="AG58" s="49"/>
      <c r="AH58" s="49"/>
      <c r="AI58" s="49" t="s">
        <v>145</v>
      </c>
      <c r="AJ58" s="47" t="s">
        <v>38</v>
      </c>
      <c r="AK58" s="47" t="s">
        <v>37</v>
      </c>
    </row>
    <row r="59" spans="1:37" x14ac:dyDescent="0.25">
      <c r="B59" s="45" t="s">
        <v>95</v>
      </c>
      <c r="C59" s="57"/>
      <c r="D59" s="47"/>
      <c r="E59" s="59">
        <v>1</v>
      </c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7" t="s">
        <v>146</v>
      </c>
      <c r="AK59" s="47" t="s">
        <v>37</v>
      </c>
    </row>
    <row r="60" spans="1:37" x14ac:dyDescent="0.25">
      <c r="B60" s="45" t="s">
        <v>28</v>
      </c>
      <c r="C60" s="51"/>
      <c r="D60" s="47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49"/>
      <c r="AA60" s="49"/>
      <c r="AB60" s="49"/>
      <c r="AC60" s="49"/>
      <c r="AD60" s="49"/>
      <c r="AE60" s="49"/>
      <c r="AF60" s="49"/>
      <c r="AG60" s="49"/>
      <c r="AH60" s="49"/>
      <c r="AI60" s="49" t="s">
        <v>147</v>
      </c>
      <c r="AJ60" s="47" t="s">
        <v>141</v>
      </c>
      <c r="AK60" s="47" t="s">
        <v>37</v>
      </c>
    </row>
    <row r="61" spans="1:37" x14ac:dyDescent="0.25">
      <c r="B61" s="45" t="s">
        <v>25</v>
      </c>
      <c r="C61" s="51"/>
      <c r="D61" s="47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49"/>
      <c r="AA61" s="49"/>
      <c r="AB61" s="49"/>
      <c r="AC61" s="49"/>
      <c r="AD61" s="49"/>
      <c r="AE61" s="49"/>
      <c r="AF61" s="49"/>
      <c r="AG61" s="49"/>
      <c r="AH61" s="49"/>
      <c r="AI61" s="49" t="s">
        <v>148</v>
      </c>
      <c r="AJ61" s="47" t="s">
        <v>149</v>
      </c>
      <c r="AK61" s="47" t="s">
        <v>37</v>
      </c>
    </row>
    <row r="62" spans="1:37" x14ac:dyDescent="0.25">
      <c r="B62" s="45" t="s">
        <v>30</v>
      </c>
      <c r="C62" s="51"/>
      <c r="D62" s="47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>
        <v>1</v>
      </c>
      <c r="Q62" s="59"/>
      <c r="R62" s="59"/>
      <c r="S62" s="59"/>
      <c r="T62" s="59"/>
      <c r="U62" s="59"/>
      <c r="V62" s="59"/>
      <c r="W62" s="59"/>
      <c r="X62" s="59"/>
      <c r="Y62" s="5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7" t="s">
        <v>150</v>
      </c>
      <c r="AK62" s="47" t="s">
        <v>37</v>
      </c>
    </row>
    <row r="63" spans="1:37" x14ac:dyDescent="0.25">
      <c r="B63" s="45" t="s">
        <v>64</v>
      </c>
      <c r="C63" s="51"/>
      <c r="D63" s="47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>
        <v>1</v>
      </c>
      <c r="R63" s="59"/>
      <c r="S63" s="59"/>
      <c r="T63" s="59"/>
      <c r="U63" s="59"/>
      <c r="V63" s="59"/>
      <c r="W63" s="59"/>
      <c r="X63" s="59"/>
      <c r="Y63" s="5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7" t="s">
        <v>65</v>
      </c>
      <c r="AK63" s="47" t="s">
        <v>37</v>
      </c>
    </row>
    <row r="64" spans="1:37" x14ac:dyDescent="0.25">
      <c r="B64" s="45" t="s">
        <v>98</v>
      </c>
      <c r="C64" s="51"/>
      <c r="D64" s="47"/>
      <c r="E64" s="59"/>
      <c r="F64" s="59"/>
      <c r="G64" s="59"/>
      <c r="H64" s="59"/>
      <c r="I64" s="59"/>
      <c r="J64" s="59"/>
      <c r="K64" s="59"/>
      <c r="L64" s="59"/>
      <c r="M64" s="59"/>
      <c r="N64" s="59">
        <v>1</v>
      </c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7" t="s">
        <v>39</v>
      </c>
      <c r="AK64" s="47" t="s">
        <v>37</v>
      </c>
    </row>
    <row r="65" spans="2:37" x14ac:dyDescent="0.25">
      <c r="B65" s="45" t="s">
        <v>151</v>
      </c>
      <c r="C65" s="51"/>
      <c r="D65" s="47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>
        <v>1</v>
      </c>
      <c r="R65" s="59"/>
      <c r="S65" s="59"/>
      <c r="T65" s="59"/>
      <c r="U65" s="59"/>
      <c r="V65" s="59"/>
      <c r="W65" s="59"/>
      <c r="X65" s="59"/>
      <c r="Y65" s="59"/>
      <c r="Z65" s="49"/>
      <c r="AA65" s="49"/>
      <c r="AB65" s="49"/>
      <c r="AC65" s="49"/>
      <c r="AD65" s="49"/>
      <c r="AE65" s="49"/>
      <c r="AF65" s="49"/>
      <c r="AG65" s="49"/>
      <c r="AH65" s="49"/>
      <c r="AI65" s="49" t="s">
        <v>152</v>
      </c>
      <c r="AJ65" s="47" t="s">
        <v>153</v>
      </c>
      <c r="AK65" s="47" t="s">
        <v>37</v>
      </c>
    </row>
    <row r="66" spans="2:37" x14ac:dyDescent="0.25">
      <c r="B66" s="45" t="s">
        <v>30</v>
      </c>
      <c r="C66" s="51"/>
      <c r="D66" s="47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>
        <v>1</v>
      </c>
      <c r="R66" s="59"/>
      <c r="S66" s="59"/>
      <c r="T66" s="59"/>
      <c r="U66" s="59"/>
      <c r="V66" s="59"/>
      <c r="W66" s="59"/>
      <c r="X66" s="59"/>
      <c r="Y66" s="5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7" t="s">
        <v>154</v>
      </c>
      <c r="AK66" s="47" t="s">
        <v>37</v>
      </c>
    </row>
    <row r="67" spans="2:37" x14ac:dyDescent="0.25">
      <c r="B67" s="45" t="s">
        <v>89</v>
      </c>
      <c r="C67" s="51">
        <v>26184125</v>
      </c>
      <c r="D67" s="47"/>
      <c r="E67" s="59"/>
      <c r="F67" s="59"/>
      <c r="G67" s="59"/>
      <c r="H67" s="59"/>
      <c r="I67" s="59"/>
      <c r="J67" s="59">
        <v>1</v>
      </c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7" t="s">
        <v>155</v>
      </c>
      <c r="AK67" s="47" t="s">
        <v>70</v>
      </c>
    </row>
    <row r="68" spans="2:37" x14ac:dyDescent="0.25">
      <c r="B68" s="45" t="s">
        <v>72</v>
      </c>
      <c r="C68" s="51">
        <v>26184074</v>
      </c>
      <c r="D68" s="47"/>
      <c r="E68" s="59"/>
      <c r="F68" s="59"/>
      <c r="G68" s="59"/>
      <c r="H68" s="59">
        <v>1</v>
      </c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7" t="s">
        <v>73</v>
      </c>
      <c r="AK68" s="47" t="s">
        <v>70</v>
      </c>
    </row>
    <row r="69" spans="2:37" x14ac:dyDescent="0.25">
      <c r="B69" s="45" t="s">
        <v>27</v>
      </c>
      <c r="C69" s="51"/>
      <c r="D69" s="47"/>
      <c r="E69" s="59"/>
      <c r="F69" s="59"/>
      <c r="G69" s="59"/>
      <c r="H69" s="59"/>
      <c r="I69" s="59"/>
      <c r="J69" s="59"/>
      <c r="K69" s="59">
        <v>1</v>
      </c>
      <c r="L69" s="59"/>
      <c r="M69" s="59"/>
      <c r="N69" s="59"/>
      <c r="O69" s="59"/>
      <c r="P69" s="59"/>
      <c r="Q69" s="59">
        <v>2</v>
      </c>
      <c r="R69" s="59"/>
      <c r="S69" s="59"/>
      <c r="T69" s="59"/>
      <c r="U69" s="59"/>
      <c r="V69" s="59"/>
      <c r="W69" s="59"/>
      <c r="X69" s="59"/>
      <c r="Y69" s="59"/>
      <c r="Z69" s="49"/>
      <c r="AA69" s="49"/>
      <c r="AB69" s="49"/>
      <c r="AC69" s="49"/>
      <c r="AD69" s="49"/>
      <c r="AE69" s="49"/>
      <c r="AF69" s="49"/>
      <c r="AG69" s="49"/>
      <c r="AH69" s="49"/>
      <c r="AI69" s="49" t="s">
        <v>156</v>
      </c>
      <c r="AJ69" s="47" t="s">
        <v>157</v>
      </c>
      <c r="AK69" s="47" t="s">
        <v>37</v>
      </c>
    </row>
    <row r="70" spans="2:37" x14ac:dyDescent="0.25">
      <c r="B70" s="45" t="s">
        <v>25</v>
      </c>
      <c r="C70" s="51"/>
      <c r="D70" s="47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>
        <v>1</v>
      </c>
      <c r="Q70" s="59"/>
      <c r="R70" s="59"/>
      <c r="S70" s="59"/>
      <c r="T70" s="59"/>
      <c r="U70" s="59"/>
      <c r="V70" s="59"/>
      <c r="W70" s="59"/>
      <c r="X70" s="59"/>
      <c r="Y70" s="5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7" t="s">
        <v>158</v>
      </c>
      <c r="AK70" s="47" t="s">
        <v>37</v>
      </c>
    </row>
    <row r="71" spans="2:37" x14ac:dyDescent="0.25">
      <c r="B71" s="45" t="s">
        <v>34</v>
      </c>
      <c r="C71" s="51"/>
      <c r="D71" s="47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>
        <v>1</v>
      </c>
      <c r="S71" s="59"/>
      <c r="T71" s="59"/>
      <c r="U71" s="59"/>
      <c r="V71" s="59"/>
      <c r="W71" s="59"/>
      <c r="X71" s="59"/>
      <c r="Y71" s="5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7" t="s">
        <v>146</v>
      </c>
      <c r="AK71" s="47" t="s">
        <v>37</v>
      </c>
    </row>
    <row r="72" spans="2:37" x14ac:dyDescent="0.25">
      <c r="B72" s="45" t="s">
        <v>33</v>
      </c>
      <c r="C72" s="51"/>
      <c r="D72" s="47"/>
      <c r="E72" s="59">
        <v>1</v>
      </c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7" t="s">
        <v>159</v>
      </c>
      <c r="AK72" s="47" t="s">
        <v>37</v>
      </c>
    </row>
    <row r="73" spans="2:37" x14ac:dyDescent="0.25">
      <c r="B73" s="45" t="s">
        <v>30</v>
      </c>
      <c r="C73" s="51"/>
      <c r="D73" s="47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>
        <v>1</v>
      </c>
      <c r="S73" s="59"/>
      <c r="T73" s="59"/>
      <c r="U73" s="59"/>
      <c r="V73" s="59"/>
      <c r="W73" s="59"/>
      <c r="X73" s="59"/>
      <c r="Y73" s="5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7"/>
      <c r="AK73" s="47"/>
    </row>
    <row r="74" spans="2:37" x14ac:dyDescent="0.25">
      <c r="B74" s="45" t="s">
        <v>107</v>
      </c>
      <c r="C74" s="51">
        <v>26182353</v>
      </c>
      <c r="D74" s="47"/>
      <c r="E74" s="59"/>
      <c r="F74" s="59"/>
      <c r="G74" s="59"/>
      <c r="H74" s="59">
        <v>1</v>
      </c>
      <c r="I74" s="59"/>
      <c r="J74" s="59"/>
      <c r="K74" s="59"/>
      <c r="L74" s="59"/>
      <c r="M74" s="59"/>
      <c r="N74" s="59">
        <v>1</v>
      </c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7" t="s">
        <v>160</v>
      </c>
      <c r="AK74" s="47" t="s">
        <v>70</v>
      </c>
    </row>
    <row r="75" spans="2:37" x14ac:dyDescent="0.25">
      <c r="B75" s="45" t="s">
        <v>25</v>
      </c>
      <c r="C75" s="51">
        <v>26184851</v>
      </c>
      <c r="D75" s="47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>
        <v>1</v>
      </c>
      <c r="Q75" s="59"/>
      <c r="R75" s="59"/>
      <c r="S75" s="59"/>
      <c r="T75" s="59"/>
      <c r="U75" s="59"/>
      <c r="V75" s="59"/>
      <c r="W75" s="59"/>
      <c r="X75" s="59"/>
      <c r="Y75" s="5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7" t="s">
        <v>161</v>
      </c>
      <c r="AK75" s="47" t="s">
        <v>70</v>
      </c>
    </row>
    <row r="76" spans="2:37" x14ac:dyDescent="0.25">
      <c r="B76" s="45" t="s">
        <v>72</v>
      </c>
      <c r="C76" s="51" t="s">
        <v>162</v>
      </c>
      <c r="D76" s="47" t="s">
        <v>163</v>
      </c>
      <c r="E76" s="59"/>
      <c r="F76" s="59"/>
      <c r="G76" s="59"/>
      <c r="H76" s="59"/>
      <c r="I76" s="59"/>
      <c r="J76" s="59"/>
      <c r="K76" s="59">
        <v>4</v>
      </c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7" t="s">
        <v>164</v>
      </c>
      <c r="AK76" s="47" t="s">
        <v>70</v>
      </c>
    </row>
    <row r="77" spans="2:37" x14ac:dyDescent="0.25">
      <c r="B77" s="45" t="s">
        <v>25</v>
      </c>
      <c r="C77" s="51" t="s">
        <v>165</v>
      </c>
      <c r="D77" s="47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>
        <v>2</v>
      </c>
      <c r="Q77" s="59"/>
      <c r="R77" s="59"/>
      <c r="S77" s="59"/>
      <c r="T77" s="59"/>
      <c r="U77" s="59"/>
      <c r="V77" s="59"/>
      <c r="W77" s="59"/>
      <c r="X77" s="59"/>
      <c r="Y77" s="5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7" t="s">
        <v>88</v>
      </c>
      <c r="AK77" s="47" t="s">
        <v>70</v>
      </c>
    </row>
    <row r="78" spans="2:37" x14ac:dyDescent="0.25">
      <c r="B78" s="45" t="s">
        <v>34</v>
      </c>
      <c r="C78" s="51"/>
      <c r="D78" s="47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49"/>
      <c r="AA78" s="49"/>
      <c r="AB78" s="49"/>
      <c r="AC78" s="49"/>
      <c r="AD78" s="49"/>
      <c r="AE78" s="49"/>
      <c r="AF78" s="49"/>
      <c r="AG78" s="49"/>
      <c r="AH78" s="49"/>
      <c r="AI78" s="49" t="s">
        <v>166</v>
      </c>
      <c r="AJ78" s="47" t="s">
        <v>146</v>
      </c>
      <c r="AK78" s="47" t="s">
        <v>37</v>
      </c>
    </row>
    <row r="79" spans="2:37" x14ac:dyDescent="0.25">
      <c r="B79" s="45" t="s">
        <v>136</v>
      </c>
      <c r="C79" s="51"/>
      <c r="D79" s="47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49"/>
      <c r="AA79" s="49"/>
      <c r="AB79" s="49"/>
      <c r="AC79" s="49"/>
      <c r="AD79" s="49"/>
      <c r="AE79" s="49"/>
      <c r="AF79" s="49"/>
      <c r="AG79" s="49"/>
      <c r="AH79" s="49"/>
      <c r="AI79" s="49" t="s">
        <v>167</v>
      </c>
      <c r="AJ79" s="47" t="s">
        <v>60</v>
      </c>
      <c r="AK79" s="47" t="s">
        <v>37</v>
      </c>
    </row>
    <row r="80" spans="2:37" x14ac:dyDescent="0.25">
      <c r="B80" s="45"/>
      <c r="C80" s="51"/>
      <c r="D80" s="47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7"/>
      <c r="AK80" s="47"/>
    </row>
    <row r="81" spans="2:37" x14ac:dyDescent="0.25">
      <c r="B81" s="45"/>
      <c r="C81" s="51"/>
      <c r="D81" s="47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7"/>
      <c r="AK81" s="47"/>
    </row>
    <row r="82" spans="2:37" x14ac:dyDescent="0.25">
      <c r="B82" s="45"/>
      <c r="C82" s="51"/>
      <c r="D82" s="47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7"/>
      <c r="AK82" s="47"/>
    </row>
    <row r="83" spans="2:37" x14ac:dyDescent="0.25">
      <c r="B83" s="45"/>
      <c r="C83" s="51"/>
      <c r="D83" s="47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7"/>
      <c r="AK83" s="47"/>
    </row>
    <row r="84" spans="2:37" x14ac:dyDescent="0.25">
      <c r="B84" s="45"/>
      <c r="C84" s="51"/>
      <c r="D84" s="47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 t="str">
        <f ca="1">IFERROR(__xludf.DUMMYFUNCTION("AI(""Fill an appropriate value for this cell based on the table context"")"),"")</f>
        <v/>
      </c>
      <c r="V84" s="59"/>
      <c r="W84" s="59"/>
      <c r="X84" s="59"/>
      <c r="Y84" s="5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7"/>
      <c r="AK84" s="47"/>
    </row>
    <row r="85" spans="2:37" x14ac:dyDescent="0.25">
      <c r="B85" s="45"/>
      <c r="C85" s="51"/>
      <c r="D85" s="47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7"/>
      <c r="AK85" s="47"/>
    </row>
    <row r="86" spans="2:37" x14ac:dyDescent="0.25">
      <c r="B86" s="45"/>
      <c r="C86" s="51"/>
      <c r="D86" s="47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7"/>
      <c r="AK86" s="47"/>
    </row>
    <row r="87" spans="2:37" x14ac:dyDescent="0.25">
      <c r="B87" s="45"/>
      <c r="C87" s="51"/>
      <c r="D87" s="47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7"/>
      <c r="AK87" s="47"/>
    </row>
    <row r="88" spans="2:37" x14ac:dyDescent="0.25">
      <c r="B88" s="45"/>
      <c r="C88" s="51"/>
      <c r="D88" s="47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7"/>
      <c r="AK88" s="47"/>
    </row>
    <row r="89" spans="2:37" x14ac:dyDescent="0.25">
      <c r="B89" s="45"/>
      <c r="C89" s="51"/>
      <c r="D89" s="47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7"/>
      <c r="AK89" s="47"/>
    </row>
    <row r="90" spans="2:37" x14ac:dyDescent="0.25">
      <c r="B90" s="45"/>
      <c r="C90" s="51"/>
      <c r="D90" s="47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7"/>
      <c r="AK90" s="47"/>
    </row>
    <row r="91" spans="2:37" x14ac:dyDescent="0.25">
      <c r="B91" s="45"/>
      <c r="C91" s="51"/>
      <c r="D91" s="47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7"/>
      <c r="AK91" s="47"/>
    </row>
    <row r="92" spans="2:37" x14ac:dyDescent="0.25">
      <c r="B92" s="45"/>
      <c r="C92" s="51"/>
      <c r="D92" s="47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7"/>
      <c r="AK92" s="47"/>
    </row>
    <row r="93" spans="2:37" x14ac:dyDescent="0.25">
      <c r="B93" s="45"/>
      <c r="C93" s="51"/>
      <c r="D93" s="47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7"/>
      <c r="AK93" s="47"/>
    </row>
    <row r="94" spans="2:37" x14ac:dyDescent="0.25">
      <c r="B94" s="45"/>
      <c r="C94" s="51"/>
      <c r="D94" s="47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7"/>
      <c r="AK94" s="47"/>
    </row>
    <row r="95" spans="2:37" x14ac:dyDescent="0.25">
      <c r="B95" s="45"/>
      <c r="C95" s="51"/>
      <c r="D95" s="47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7"/>
      <c r="AK95" s="47"/>
    </row>
    <row r="96" spans="2:37" x14ac:dyDescent="0.25">
      <c r="B96" s="45"/>
      <c r="C96" s="51"/>
      <c r="D96" s="47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2"/>
      <c r="AA96" s="62"/>
      <c r="AB96" s="62"/>
      <c r="AC96" s="62"/>
      <c r="AD96" s="62"/>
      <c r="AE96" s="62"/>
      <c r="AF96" s="62"/>
      <c r="AG96" s="62"/>
      <c r="AH96" s="62"/>
      <c r="AI96" s="49"/>
      <c r="AJ96" s="47"/>
      <c r="AK96" s="47"/>
    </row>
  </sheetData>
  <mergeCells count="38">
    <mergeCell ref="A1:C1"/>
    <mergeCell ref="D1:AK1"/>
    <mergeCell ref="A2:AK2"/>
    <mergeCell ref="C3:AI3"/>
    <mergeCell ref="AJ3:AJ5"/>
    <mergeCell ref="AK3:AK5"/>
    <mergeCell ref="E4:Y4"/>
    <mergeCell ref="Z4:AI4"/>
    <mergeCell ref="C5:C6"/>
    <mergeCell ref="D5:D6"/>
    <mergeCell ref="E5:E6"/>
    <mergeCell ref="F5:F6"/>
    <mergeCell ref="G5:G6"/>
    <mergeCell ref="A3:A6"/>
    <mergeCell ref="B3:B6"/>
    <mergeCell ref="W5:W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AA5:AA6"/>
    <mergeCell ref="AB5:AB6"/>
    <mergeCell ref="AC5:AE5"/>
    <mergeCell ref="AF5:AH5"/>
    <mergeCell ref="R5:R6"/>
    <mergeCell ref="S5:S6"/>
    <mergeCell ref="T5:T6"/>
    <mergeCell ref="U5:U6"/>
    <mergeCell ref="V5:V6"/>
    <mergeCell ref="X5:X6"/>
    <mergeCell ref="Y5:Y6"/>
    <mergeCell ref="Z5:Z6"/>
  </mergeCells>
  <dataValidations count="3">
    <dataValidation type="list" allowBlank="1" showErrorMessage="1" sqref="AK22" xr:uid="{E42523A9-F6C6-49A7-BCB1-A2847C119CD9}">
      <formula1>"Dương,Huyền,Quyên,Lâm,Tuấn,Chí,V Phương,Đ Phương,Nhân"</formula1>
    </dataValidation>
    <dataValidation type="list" allowBlank="1" showErrorMessage="1" sqref="AK7:AK21 AK23:AK96" xr:uid="{B5EDF702-1999-4139-A700-9B8594D78F85}">
      <formula1>"Dương,Huyền,Quyên,Lâm,Tuấn,Chí,V Phương,Đ Phương,Nhân,Hiệp,Ly"</formula1>
    </dataValidation>
    <dataValidation type="list" allowBlank="1" showErrorMessage="1" sqref="B7:B96" xr:uid="{055D23F3-5461-4B79-A30B-5204BAC859B2}">
      <formula1>"BAN BVSK,CC115,CĐHA,CNTT,CSGN,CTXH,CĐT,CXK,DA LIỄU ,DINH DƯỠNG,ĐÔNG Y,DƯỢC,GĐYK,GPB,HCQT,HHLS,HSTC,HTL,KB,KHTH,KSNK,LKTK,MẮT,NGOẠI CT,NGOẠI TH,NGOẠI TKLN,NGOẠI TN,NGOẠI ƯB,NGOẠI XT,NHH,NHI,NỘI TH,PHCN,PTGMHS,QLCL,RHM,TCCB,TCKT,TDCN,THẬN,TMH,TRUYỀN NHIỄM,T"&amp;"TTM,VT,XNTT,Tổng,PHỤ SẢN"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2026-09-07T08:28:35Z</dcterms:modified>
</cp:coreProperties>
</file>